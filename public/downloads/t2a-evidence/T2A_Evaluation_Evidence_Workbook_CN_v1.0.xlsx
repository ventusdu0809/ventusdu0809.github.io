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998607aa6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5a88587d9db4dc4"/>
    <x:sheet xmlns:r="http://schemas.openxmlformats.org/officeDocument/2006/relationships" name="Coverage" sheetId="2" r:id="Rd5db0743d0a241ef"/>
    <x:sheet xmlns:r="http://schemas.openxmlformats.org/officeDocument/2006/relationships" name="Rubric_Protocol" sheetId="3" r:id="Re0817f1d5d0c4848"/>
    <x:sheet xmlns:r="http://schemas.openxmlformats.org/officeDocument/2006/relationships" name="Prompt_REL" sheetId="4" r:id="Rf480c747f2114ab8"/>
    <x:sheet xmlns:r="http://schemas.openxmlformats.org/officeDocument/2006/relationships" name="Badcase_Retest" sheetId="5" r:id="Rc1496616466b4ffa"/>
    <x:sheet xmlns:r="http://schemas.openxmlformats.org/officeDocument/2006/relationships" name="Examples" sheetId="6" r:id="Ra158ddf9dd65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%"/>
  </x:numFmts>
  <x:fonts count="9">
    <x:font>
      <x:sz val="11"/>
      <x:name val="Carlito"/>
    </x:font>
    <x:font>
      <x:b/>
      <x:sz val="18"/>
      <x:color rgb="FFFFFFFF"/>
      <x:name val="Microsoft YaHei"/>
    </x:font>
    <x:font>
      <x:sz val="10"/>
      <x:color rgb="FF293F3C"/>
      <x:name val="Microsoft YaHei"/>
    </x:font>
    <x:font>
      <x:b/>
      <x:sz val="10"/>
      <x:color rgb="FFFFFFFF"/>
      <x:name val="Microsoft YaHei"/>
    </x:font>
    <x:font>
      <x:sz val="9"/>
      <x:color rgb="FF202421"/>
      <x:name val="Microsoft YaHei"/>
    </x:font>
    <x:font>
      <x:b/>
      <x:sz val="15"/>
      <x:color rgb="FF293F3C"/>
      <x:name val="Microsoft YaHei"/>
    </x:font>
    <x:font>
      <x:b/>
      <x:sz val="11"/>
      <x:color rgb="FFFFFFFF"/>
      <x:name val="Microsoft YaHei"/>
    </x:font>
    <x:font>
      <x:sz val="10"/>
      <x:color rgb="FF202421"/>
      <x:name val="Microsoft YaHei"/>
    </x:font>
    <x:font>
      <x:b/>
      <x:sz val="10"/>
      <x:color rgb="FF293F3C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93F3C"/>
      </x:patternFill>
    </x:fill>
    <x:fill>
      <x:patternFill patternType="solid">
        <x:fgColor rgb="FFE8EDE8"/>
      </x:patternFill>
    </x:fill>
    <x:fill>
      <x:patternFill patternType="solid">
        <x:fgColor rgb="FF3F5F5A"/>
      </x:patternFill>
    </x:fill>
    <x:fill>
      <x:patternFill patternType="solid">
        <x:fgColor rgb="FFFCFAF5"/>
      </x:patternFill>
    </x:fill>
    <x:fill>
      <x:patternFill patternType="solid">
        <x:fgColor rgb="FFFFFFFF"/>
      </x:patternFill>
    </x:fill>
    <x:fill>
      <x:patternFill patternType="solid">
        <x:fgColor rgb="FFA9473D"/>
      </x:patternFill>
    </x:fill>
  </x:fills>
  <x:borders count="20">
    <x:border/>
    <x:border>
      <x:left style="thin">
        <x:color rgb="FF293F3C"/>
      </x:left>
      <x:top style="thin">
        <x:color rgb="FF293F3C"/>
      </x:top>
      <x:bottom style="thin">
        <x:color rgb="FF293F3C"/>
      </x:bottom>
    </x:border>
    <x:border>
      <x:top style="thin">
        <x:color rgb="FF293F3C"/>
      </x:top>
      <x:bottom style="thin">
        <x:color rgb="FF293F3C"/>
      </x:bottom>
    </x:border>
    <x:border>
      <x:right style="thin">
        <x:color rgb="FF293F3C"/>
      </x:right>
      <x:top style="thin">
        <x:color rgb="FF293F3C"/>
      </x:top>
      <x:bottom style="thin">
        <x:color rgb="FF293F3C"/>
      </x:bottom>
    </x:border>
    <x:border>
      <x:right style="thin">
        <x:color rgb="FFD8D0C4"/>
      </x:right>
    </x:border>
    <x:border>
      <x:left style="thin">
        <x:color rgb="FFD8D0C4"/>
      </x:left>
      <x:right style="thin">
        <x:color rgb="FFD8D0C4"/>
      </x:right>
    </x:border>
    <x:border>
      <x:left style="thin">
        <x:color rgb="FFD8D0C4"/>
      </x:left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left style="thin">
        <x:color rgb="FFD8D0C4"/>
      </x:left>
      <x:top style="thin">
        <x:color rgb="FFD8D0C4"/>
      </x:top>
    </x:border>
    <x:border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left style="thin">
        <x:color rgb="FFD8D0C4"/>
      </x:left>
      <x:right style="thin">
        <x:color rgb="FFD8D0C4"/>
      </x:right>
      <x:bottom style="thin">
        <x:color rgb="FFD8D0C4"/>
      </x:bottom>
    </x:border>
    <x:border>
      <x:right style="thin">
        <x:color rgb="FFD8D0C4"/>
      </x:right>
      <x:top style="thin">
        <x:color rgb="FFD8D0C4"/>
      </x:top>
      <x:bottom style="thin">
        <x:color rgb="FFD8D0C4"/>
      </x:bottom>
    </x:border>
    <x:border>
      <x:left style="thin">
        <x:color rgb="FFD8D0C4"/>
      </x:left>
      <x:top style="thin">
        <x:color rgb="FFD8D0C4"/>
      </x:top>
      <x:bottom style="thin">
        <x:color rgb="FFD8D0C4"/>
      </x:bottom>
    </x:border>
    <x:border>
      <x:left style="thin">
        <x:color rgb="FFD8D0C4"/>
      </x:left>
      <x:right style="thin">
        <x:color rgb="FFD8D0C4"/>
      </x:right>
      <x:top style="thin">
        <x:color rgb="FFD8D0C4"/>
      </x:top>
    </x:border>
    <x:border>
      <x:right style="thin">
        <x:color rgb="FFD8D0C4"/>
      </x:right>
      <x:top style="thin">
        <x:color rgb="FFD8D0C4"/>
      </x:top>
      <x:bottom style="double">
        <x:color rgb="FF3F5F5A"/>
      </x:bottom>
    </x:border>
    <x:border>
      <x:left style="thin">
        <x:color rgb="FFD8D0C4"/>
      </x:left>
      <x:right style="thin">
        <x:color rgb="FFD8D0C4"/>
      </x:right>
      <x:top style="thin">
        <x:color rgb="FFD8D0C4"/>
      </x:top>
      <x:bottom style="double">
        <x:color rgb="FF3F5F5A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0" fontId="4" fillId="6" borderId="4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201" fontId="4" fillId="6" borderId="6" xfId="0" applyNumberFormat="1" applyFont="1" applyFill="1" applyBorder="1" applyAlignment="1">
      <x:alignment vertical="center" wrapText="1"/>
    </x:xf>
    <x:xf numFmtId="200" fontId="5" fillId="6" borderId="4" xfId="0" applyNumberFormat="1" applyFont="1" applyFill="1" applyBorder="1" applyAlignment="1">
      <x:alignment vertical="center" wrapText="1"/>
    </x:xf>
    <x:xf numFmtId="200" fontId="5" fillId="6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201" fontId="5" fillId="6" borderId="5" xfId="0" applyNumberFormat="1" applyFont="1" applyFill="1" applyBorder="1" applyAlignment="1">
      <x:alignment vertical="center" wrapText="1"/>
    </x:xf>
    <x:xf numFmtId="201" fontId="5" fillId="6" borderId="6" xfId="0" applyNumberFormat="1" applyFont="1" applyFill="1" applyBorder="1" applyAlignment="1">
      <x:alignment vertical="center" wrapText="1"/>
    </x:xf>
    <x:xf numFmtId="200" fontId="5" fillId="6" borderId="7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201" fontId="5" fillId="6" borderId="7" xfId="0" applyNumberFormat="1" applyFont="1" applyFill="1" applyBorder="1" applyAlignment="1">
      <x:alignment vertical="center" wrapText="1"/>
    </x:xf>
    <x:xf numFmtId="200" fontId="5" fillId="6" borderId="7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201" fontId="5" fillId="6" borderId="7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6" xfId="0" applyNumberFormat="1" applyFont="1" applyFill="1" applyBorder="1"/>
    <x:xf numFmtId="0" fontId="7" fillId="5" borderId="4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1" xfId="0" applyNumberFormat="1" applyFont="1" applyFill="1" applyBorder="1"/>
    <x:xf numFmtId="0" fontId="4" fillId="5" borderId="15" xfId="0" applyNumberFormat="1" applyFont="1" applyFill="1" applyBorder="1"/>
    <x:xf numFmtId="0" fontId="4" fillId="5" borderId="7" xfId="0" applyNumberFormat="1" applyFont="1" applyFill="1" applyBorder="1"/>
    <x:xf numFmtId="0" fontId="4" fillId="5" borderId="16" xfId="0" applyNumberFormat="1" applyFont="1" applyFill="1" applyBorder="1"/>
    <x:xf numFmtId="0" fontId="4" fillId="5" borderId="10" xfId="0" applyNumberFormat="1" applyFont="1" applyFill="1" applyBorder="1"/>
    <x:xf numFmtId="0" fontId="4" fillId="5" borderId="17" xfId="0" applyNumberFormat="1" applyFont="1" applyFill="1" applyBorder="1"/>
    <x:xf numFmtId="0" fontId="4" fillId="5" borderId="8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8" fillId="3" borderId="17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0" fontId="8" fillId="3" borderId="18" xfId="0" applyNumberFormat="1" applyFont="1" applyFill="1" applyBorder="1" applyAlignment="1">
      <x:alignment vertical="center" wrapText="1"/>
    </x:xf>
    <x:xf numFmtId="0" fontId="8" fillId="3" borderId="19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200" fontId="4" fillId="5" borderId="14" xfId="0" applyNumberFormat="1" applyFont="1" applyFill="1" applyBorder="1" applyAlignment="1">
      <x:alignment vertical="center" wrapText="1"/>
    </x:xf>
    <x:xf numFmtId="200" fontId="4" fillId="5" borderId="11" xfId="0" applyNumberFormat="1" applyFont="1" applyFill="1" applyBorder="1" applyAlignment="1">
      <x:alignment vertical="center" wrapText="1"/>
    </x:xf>
    <x:xf numFmtId="200" fontId="4" fillId="5" borderId="7" xfId="0" applyNumberFormat="1" applyFont="1" applyFill="1" applyBorder="1" applyAlignment="1">
      <x:alignment vertical="center" wrapText="1"/>
    </x:xf>
    <x:xf numFmtId="200" fontId="4" fillId="5" borderId="16" xfId="0" applyNumberFormat="1" applyFont="1" applyFill="1" applyBorder="1" applyAlignment="1">
      <x:alignment vertical="center" wrapText="1"/>
    </x:xf>
    <x:xf numFmtId="200" fontId="4" fillId="5" borderId="17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202" fontId="4" fillId="5" borderId="11" xfId="0" applyNumberFormat="1" applyFont="1" applyFill="1" applyBorder="1" applyAlignment="1">
      <x:alignment vertical="center" wrapText="1"/>
    </x:xf>
    <x:xf numFmtId="202" fontId="4" fillId="5" borderId="16" xfId="0" applyNumberFormat="1" applyFont="1" applyFill="1" applyBorder="1" applyAlignment="1">
      <x:alignment vertical="center" wrapText="1"/>
    </x:xf>
    <x:xf numFmtId="202" fontId="4" fillId="5" borderId="8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/>
    <x:xf numFmtId="0" fontId="4" fillId="5" borderId="9" xfId="0" applyNumberFormat="1" applyFont="1" applyFill="1" applyBorder="1"/>
    <x:xf numFmtId="0" fontId="4" fillId="5" borderId="12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6ae783cfe4c94" /><Relationship Type="http://schemas.openxmlformats.org/officeDocument/2006/relationships/theme" Target="/xl/theme/theme1.xml" Id="Rb20352832a794162" /><Relationship Type="http://schemas.openxmlformats.org/officeDocument/2006/relationships/sharedStrings" Target="/xl/sharedStrings.xml" Id="Rc325f515e2894cce" /><Relationship Type="http://schemas.openxmlformats.org/officeDocument/2006/relationships/worksheet" Target="/xl/worksheets/sheet1.xml" Id="R65a88587d9db4dc4" /><Relationship Type="http://schemas.openxmlformats.org/officeDocument/2006/relationships/worksheet" Target="/xl/worksheets/sheet2.xml" Id="Rd5db0743d0a241ef" /><Relationship Type="http://schemas.openxmlformats.org/officeDocument/2006/relationships/worksheet" Target="/xl/worksheets/sheet3.xml" Id="Re0817f1d5d0c4848" /><Relationship Type="http://schemas.openxmlformats.org/officeDocument/2006/relationships/worksheet" Target="/xl/worksheets/sheet4.xml" Id="Rf480c747f2114ab8" /><Relationship Type="http://schemas.openxmlformats.org/officeDocument/2006/relationships/worksheet" Target="/xl/worksheets/sheet5.xml" Id="Rc1496616466b4ffa" /><Relationship Type="http://schemas.openxmlformats.org/officeDocument/2006/relationships/worksheet" Target="/xl/worksheets/sheet6.xml" Id="Ra158ddf9dd65497e" /><Relationship Type="http://schemas.microsoft.com/office/2017/10/relationships/person" Target="/xl/persons/person.xml" Id="R03b796bebab74bf5" /></Relationships>
</file>

<file path=xl/persons/person.xml><?xml version="1.0" encoding="utf-8"?>
<xltc:personList xmlns:xltc="http://schemas.microsoft.com/office/spreadsheetml/2018/threadedcomments">
  <xltc:person displayName="杜明" id="{ECF4A904-75C5-49B8-AE5D-179E1E87559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T2A 音效生成评测 PoC｜方法与证据工作簿</x:v>
      </x:c>
      <x:c r="B1" s="3" t="str">
        <x:v>T2A 音效生成评测 PoC｜方法与证据工作簿</x:v>
      </x:c>
      <x:c r="C1" s="3" t="str">
        <x:v>T2A 音效生成评测 PoC｜方法与证据工作簿</x:v>
      </x:c>
      <x:c r="D1" s="3" t="str">
        <x:v>T2A 音效生成评测 PoC｜方法与证据工作簿</x:v>
      </x:c>
      <x:c r="E1" s="3" t="str">
        <x:v>T2A 音效生成评测 PoC｜方法与证据工作簿</x:v>
      </x:c>
      <x:c r="F1" s="3" t="str">
        <x:v>T2A 音效生成评测 PoC｜方法与证据工作簿</x:v>
      </x:c>
      <x:c r="G1" s="3" t="str">
        <x:v>T2A 音效生成评测 PoC｜方法与证据工作簿</x:v>
      </x:c>
      <x:c r="H1" s="3" t="str">
        <x:v>T2A 音效生成评测 PoC｜方法与证据工作簿</x:v>
      </x:c>
    </x:row>
    <x:row r="2" ht="34" customHeight="1">
      <x:c r="A2" s="3" t="str">
        <x:v>T2A 音效生成评测 PoC｜方法与证据工作簿</x:v>
      </x:c>
      <x:c r="B2" s="3" t="str">
        <x:v>T2A 音效生成评测 PoC｜方法与证据工作簿</x:v>
      </x:c>
      <x:c r="C2" s="3" t="str">
        <x:v>T2A 音效生成评测 PoC｜方法与证据工作簿</x:v>
      </x:c>
      <x:c r="D2" s="3" t="str">
        <x:v>T2A 音效生成评测 PoC｜方法与证据工作簿</x:v>
      </x:c>
      <x:c r="E2" s="3" t="str">
        <x:v>T2A 音效生成评测 PoC｜方法与证据工作簿</x:v>
      </x:c>
      <x:c r="F2" s="3" t="str">
        <x:v>T2A 音效生成评测 PoC｜方法与证据工作簿</x:v>
      </x:c>
      <x:c r="G2" s="3" t="str">
        <x:v>T2A 音效生成评测 PoC｜方法与证据工作簿</x:v>
      </x:c>
      <x:c r="H2" s="3" t="str">
        <x:v>T2A 音效生成评测 PoC｜方法与证据工作簿</x:v>
      </x:c>
    </x:row>
    <x:row r="3" ht="30" customHeight="1">
      <x:c r="A3" s="7" t="str">
        <x:v>Stable Audio Open 1.0｜唯一正式评分源：ratings_final_200_adjudicated.csv｜本工作簿为公开证据摘要，不是新的统计数据源</x:v>
      </x:c>
      <x:c r="B3" s="7" t="str">
        <x:v>Stable Audio Open 1.0｜唯一正式评分源：ratings_final_200_adjudicated.csv｜本工作簿为公开证据摘要，不是新的统计数据源</x:v>
      </x:c>
      <x:c r="C3" s="7" t="str">
        <x:v>Stable Audio Open 1.0｜唯一正式评分源：ratings_final_200_adjudicated.csv｜本工作簿为公开证据摘要，不是新的统计数据源</x:v>
      </x:c>
      <x:c r="D3" s="7" t="str">
        <x:v>Stable Audio Open 1.0｜唯一正式评分源：ratings_final_200_adjudicated.csv｜本工作簿为公开证据摘要，不是新的统计数据源</x:v>
      </x:c>
      <x:c r="E3" s="7" t="str">
        <x:v>Stable Audio Open 1.0｜唯一正式评分源：ratings_final_200_adjudicated.csv｜本工作簿为公开证据摘要，不是新的统计数据源</x:v>
      </x:c>
      <x:c r="F3" s="7" t="str">
        <x:v>Stable Audio Open 1.0｜唯一正式评分源：ratings_final_200_adjudicated.csv｜本工作簿为公开证据摘要，不是新的统计数据源</x:v>
      </x:c>
      <x:c r="G3" s="7" t="str">
        <x:v>Stable Audio Open 1.0｜唯一正式评分源：ratings_final_200_adjudicated.csv｜本工作簿为公开证据摘要，不是新的统计数据源</x:v>
      </x:c>
      <x:c r="H3" s="7" t="str">
        <x:v>Stable Audio Open 1.0｜唯一正式评分源：ratings_final_200_adjudicated.csv｜本工作簿为公开证据摘要，不是新的统计数据源</x:v>
      </x:c>
    </x:row>
    <x:row r="5" ht="25" customHeight="1">
      <x:c r="A5" s="16" t="str">
        <x:v>OVL mean</x:v>
      </x:c>
      <x:c r="B5" s="17" t="str">
        <x:v>REL mean</x:v>
      </x:c>
      <x:c r="C5" s="17" t="str">
        <x:v>OVL↔REL ρ</x:v>
      </x:c>
      <x:c r="D5" s="17" t="str">
        <x:v>95% CI</x:v>
      </x:c>
      <x:c r="E5" s="17" t="str">
        <x:v>pass</x:v>
      </x:c>
      <x:c r="F5" s="17" t="str">
        <x:v>keep_as_badcase</x:v>
      </x:c>
      <x:c r="G5" s="17" t="str">
        <x:v>needs_regeneration</x:v>
      </x:c>
      <x:c r="H5" s="18" t="str">
        <x:v>正式样本</x:v>
      </x:c>
    </x:row>
    <x:row r="6" ht="42" customHeight="1">
      <x:c r="A6" s="47" t="n">
        <x:v>4.245</x:v>
      </x:c>
      <x:c r="B6" s="47" t="n">
        <x:v>3.46</x:v>
      </x:c>
      <x:c r="C6" s="47" t="n">
        <x:v>0.372</x:v>
      </x:c>
      <x:c r="D6" s="48" t="str">
        <x:v>[0.243, 0.486]</x:v>
      </x:c>
      <x:c r="E6" s="49" t="n">
        <x:v>48</x:v>
      </x:c>
      <x:c r="F6" s="49" t="n">
        <x:v>138</x:v>
      </x:c>
      <x:c r="G6" s="49" t="n">
        <x:v>14</x:v>
      </x:c>
      <x:c r="H6" s="49" t="n">
        <x:v>200</x:v>
      </x:c>
    </x:row>
    <x:row r="8">
      <x:c r="A8" s="50" t="str">
        <x:v>我负责</x:v>
      </x:c>
      <x:c r="B8" s="50" t="str">
        <x:v>我负责</x:v>
      </x:c>
      <x:c r="C8" s="50" t="str">
        <x:v>我负责</x:v>
      </x:c>
      <x:c r="D8" s="50" t="str">
        <x:v>我负责</x:v>
      </x:c>
      <x:c r="E8" s="50" t="str">
        <x:v>AI 辅助</x:v>
      </x:c>
      <x:c r="F8" s="50" t="str">
        <x:v>AI 辅助</x:v>
      </x:c>
      <x:c r="G8" s="50" t="str">
        <x:v>AI 辅助</x:v>
      </x:c>
      <x:c r="H8" s="50" t="str">
        <x:v>AI 辅助</x:v>
      </x:c>
    </x:row>
    <x:row r="9" ht="24" customHeight="1">
      <x:c r="A9" s="69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B9" s="70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C9" s="70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D9" s="70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E9" s="70" t="str">
        <x:v>资料总结、批处理与脚本执行、重复样本提取、统计与表格生成、交付物制作；不替代人工听感、语义判断或最终裁决。</x:v>
      </x:c>
      <x:c r="F9" s="70" t="str">
        <x:v>资料总结、批处理与脚本执行、重复样本提取、统计与表格生成、交付物制作；不替代人工听感、语义判断或最终裁决。</x:v>
      </x:c>
      <x:c r="G9" s="70" t="str">
        <x:v>资料总结、批处理与脚本执行、重复样本提取、统计与表格生成、交付物制作；不替代人工听感、语义判断或最终裁决。</x:v>
      </x:c>
      <x:c r="H9" s="71" t="str">
        <x:v>资料总结、批处理与脚本执行、重复样本提取、统计与表格生成、交付物制作；不替代人工听感、语义判断或最终裁决。</x:v>
      </x:c>
    </x:row>
    <x:row r="10" ht="24" customHeight="1">
      <x:c r="A10" s="72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B10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C10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D10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E10" s="73" t="str">
        <x:v>资料总结、批处理与脚本执行、重复样本提取、统计与表格生成、交付物制作；不替代人工听感、语义判断或最终裁决。</x:v>
      </x:c>
      <x:c r="F10" s="73" t="str">
        <x:v>资料总结、批处理与脚本执行、重复样本提取、统计与表格生成、交付物制作；不替代人工听感、语义判断或最终裁决。</x:v>
      </x:c>
      <x:c r="G10" s="73" t="str">
        <x:v>资料总结、批处理与脚本执行、重复样本提取、统计与表格生成、交付物制作；不替代人工听感、语义判断或最终裁决。</x:v>
      </x:c>
      <x:c r="H10" s="74" t="str">
        <x:v>资料总结、批处理与脚本执行、重复样本提取、统计与表格生成、交付物制作；不替代人工听感、语义判断或最终裁决。</x:v>
      </x:c>
    </x:row>
    <x:row r="11" ht="24" customHeight="1">
      <x:c r="A11" s="72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B11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C11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D11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E11" s="73" t="str">
        <x:v>资料总结、批处理与脚本执行、重复样本提取、统计与表格生成、交付物制作；不替代人工听感、语义判断或最终裁决。</x:v>
      </x:c>
      <x:c r="F11" s="73" t="str">
        <x:v>资料总结、批处理与脚本执行、重复样本提取、统计与表格生成、交付物制作；不替代人工听感、语义判断或最终裁决。</x:v>
      </x:c>
      <x:c r="G11" s="73" t="str">
        <x:v>资料总结、批处理与脚本执行、重复样本提取、统计与表格生成、交付物制作；不替代人工听感、语义判断或最终裁决。</x:v>
      </x:c>
      <x:c r="H11" s="74" t="str">
        <x:v>资料总结、批处理与脚本执行、重复样本提取、统计与表格生成、交付物制作；不替代人工听感、语义判断或最终裁决。</x:v>
      </x:c>
    </x:row>
    <x:row r="12" ht="24" customHeight="1">
      <x:c r="A12" s="72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B12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C12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D12" s="73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E12" s="73" t="str">
        <x:v>资料总结、批处理与脚本执行、重复样本提取、统计与表格生成、交付物制作；不替代人工听感、语义判断或最终裁决。</x:v>
      </x:c>
      <x:c r="F12" s="73" t="str">
        <x:v>资料总结、批处理与脚本执行、重复样本提取、统计与表格生成、交付物制作；不替代人工听感、语义判断或最终裁决。</x:v>
      </x:c>
      <x:c r="G12" s="73" t="str">
        <x:v>资料总结、批处理与脚本执行、重复样本提取、统计与表格生成、交付物制作；不替代人工听感、语义判断或最终裁决。</x:v>
      </x:c>
      <x:c r="H12" s="74" t="str">
        <x:v>资料总结、批处理与脚本执行、重复样本提取、统计与表格生成、交付物制作；不替代人工听感、语义判断或最终裁决。</x:v>
      </x:c>
    </x:row>
    <x:row r="13" ht="24" customHeight="1">
      <x:c r="A13" s="75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B13" s="76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C13" s="76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D13" s="76" t="str">
        <x:v>提出五层框架；主动引入 STFT/FFT、BS.1770 响度与人耳响度曲线方向；设计测试集；亲自完成 200 条正式样本听评、隐藏重复复测与最终 Badcase 决策；审核方法、结果与对外文案。</x:v>
      </x:c>
      <x:c r="E13" s="76" t="str">
        <x:v>资料总结、批处理与脚本执行、重复样本提取、统计与表格生成、交付物制作；不替代人工听感、语义判断或最终裁决。</x:v>
      </x:c>
      <x:c r="F13" s="76" t="str">
        <x:v>资料总结、批处理与脚本执行、重复样本提取、统计与表格生成、交付物制作；不替代人工听感、语义判断或最终裁决。</x:v>
      </x:c>
      <x:c r="G13" s="76" t="str">
        <x:v>资料总结、批处理与脚本执行、重复样本提取、统计与表格生成、交付物制作；不替代人工听感、语义判断或最终裁决。</x:v>
      </x:c>
      <x:c r="H13" s="77" t="str">
        <x:v>资料总结、批处理与脚本执行、重复样本提取、统计与表格生成、交付物制作；不替代人工听感、语义判断或最终裁决。</x:v>
      </x:c>
    </x:row>
    <x:row r="15">
      <x:c r="A15" s="79" t="str">
        <x:v>关键边界</x:v>
      </x:c>
      <x:c r="B15" s="79" t="str">
        <x:v>关键边界</x:v>
      </x:c>
      <x:c r="C15" s="79" t="str">
        <x:v>关键边界</x:v>
      </x:c>
      <x:c r="D15" s="79" t="str">
        <x:v>关键边界</x:v>
      </x:c>
      <x:c r="E15" s="79" t="str">
        <x:v>关键边界</x:v>
      </x:c>
      <x:c r="F15" s="79" t="str">
        <x:v>关键边界</x:v>
      </x:c>
      <x:c r="G15" s="79" t="str">
        <x:v>关键边界</x:v>
      </x:c>
      <x:c r="H15" s="79" t="str">
        <x:v>关键边界</x:v>
      </x:c>
    </x:row>
    <x:row r="16">
      <x:c r="A16" s="98" t="str">
        <x:v>1</x:v>
      </x:c>
      <x:c r="B16" s="99" t="str">
        <x:v>单评测员项目；隐藏重复只支持同一评测人的复测稳定性，不是多人一致性。</x:v>
      </x:c>
      <x:c r="C16" s="99" t="str">
        <x:v>单评测员项目；隐藏重复只支持同一评测人的复测稳定性，不是多人一致性。</x:v>
      </x:c>
      <x:c r="D16" s="99" t="str">
        <x:v>单评测员项目；隐藏重复只支持同一评测人的复测稳定性，不是多人一致性。</x:v>
      </x:c>
      <x:c r="E16" s="99" t="str">
        <x:v>单评测员项目；隐藏重复只支持同一评测人的复测稳定性，不是多人一致性。</x:v>
      </x:c>
      <x:c r="F16" s="99" t="str">
        <x:v>单评测员项目；隐藏重复只支持同一评测人的复测稳定性，不是多人一致性。</x:v>
      </x:c>
      <x:c r="G16" s="99" t="str">
        <x:v>单评测员项目；隐藏重复只支持同一评测人的复测稳定性，不是多人一致性。</x:v>
      </x:c>
      <x:c r="H16" s="100" t="str">
        <x:v>单评测员项目；隐藏重复只支持同一评测人的复测稳定性，不是多人一致性。</x:v>
      </x:c>
    </x:row>
    <x:row r="17">
      <x:c r="A17" s="101" t="str">
        <x:v>2</x:v>
      </x:c>
      <x:c r="B17" s="102" t="str">
        <x:v>CLAP 仅用于前 5 秒、mono、44.1→48 kHz 工作流；未显示与人工 OVL/REL 的有效单调相关。</x:v>
      </x:c>
      <x:c r="C17" s="102" t="str">
        <x:v>CLAP 仅用于前 5 秒、mono、44.1→48 kHz 工作流；未显示与人工 OVL/REL 的有效单调相关。</x:v>
      </x:c>
      <x:c r="D17" s="102" t="str">
        <x:v>CLAP 仅用于前 5 秒、mono、44.1→48 kHz 工作流；未显示与人工 OVL/REL 的有效单调相关。</x:v>
      </x:c>
      <x:c r="E17" s="102" t="str">
        <x:v>CLAP 仅用于前 5 秒、mono、44.1→48 kHz 工作流；未显示与人工 OVL/REL 的有效单调相关。</x:v>
      </x:c>
      <x:c r="F17" s="102" t="str">
        <x:v>CLAP 仅用于前 5 秒、mono、44.1→48 kHz 工作流；未显示与人工 OVL/REL 的有效单调相关。</x:v>
      </x:c>
      <x:c r="G17" s="102" t="str">
        <x:v>CLAP 仅用于前 5 秒、mono、44.1→48 kHz 工作流；未显示与人工 OVL/REL 的有效单调相关。</x:v>
      </x:c>
      <x:c r="H17" s="103" t="str">
        <x:v>CLAP 仅用于前 5 秒、mono、44.1→48 kHz 工作流；未显示与人工 OVL/REL 的有效单调相关。</x:v>
      </x:c>
    </x:row>
    <x:row r="18">
      <x:c r="A18" s="101" t="str">
        <x:v>3</x:v>
      </x:c>
      <x:c r="B18" s="102" t="str">
        <x:v>完整七类 FAD/JS 保持 NOT RUN；五类探索性 VGGish 窗口级距离不用于语义、质量或排名结论。</x:v>
      </x:c>
      <x:c r="C18" s="102" t="str">
        <x:v>完整七类 FAD/JS 保持 NOT RUN；五类探索性 VGGish 窗口级距离不用于语义、质量或排名结论。</x:v>
      </x:c>
      <x:c r="D18" s="102" t="str">
        <x:v>完整七类 FAD/JS 保持 NOT RUN；五类探索性 VGGish 窗口级距离不用于语义、质量或排名结论。</x:v>
      </x:c>
      <x:c r="E18" s="102" t="str">
        <x:v>完整七类 FAD/JS 保持 NOT RUN；五类探索性 VGGish 窗口级距离不用于语义、质量或排名结论。</x:v>
      </x:c>
      <x:c r="F18" s="102" t="str">
        <x:v>完整七类 FAD/JS 保持 NOT RUN；五类探索性 VGGish 窗口级距离不用于语义、质量或排名结论。</x:v>
      </x:c>
      <x:c r="G18" s="102" t="str">
        <x:v>完整七类 FAD/JS 保持 NOT RUN；五类探索性 VGGish 窗口级距离不用于语义、质量或排名结论。</x:v>
      </x:c>
      <x:c r="H18" s="103" t="str">
        <x:v>完整七类 FAD/JS 保持 NOT RUN；五类探索性 VGGish 窗口级距离不用于语义、质量或排名结论。</x:v>
      </x:c>
    </x:row>
    <x:row r="19">
      <x:c r="A19" s="101" t="str">
        <x:v>4</x:v>
      </x:c>
      <x:c r="B19" s="102" t="str">
        <x:v>能力矩阵与决策边界均为事后审计/归纳，不是预注册阈值。</x:v>
      </x:c>
      <x:c r="C19" s="102" t="str">
        <x:v>能力矩阵与决策边界均为事后审计/归纳，不是预注册阈值。</x:v>
      </x:c>
      <x:c r="D19" s="102" t="str">
        <x:v>能力矩阵与决策边界均为事后审计/归纳，不是预注册阈值。</x:v>
      </x:c>
      <x:c r="E19" s="102" t="str">
        <x:v>能力矩阵与决策边界均为事后审计/归纳，不是预注册阈值。</x:v>
      </x:c>
      <x:c r="F19" s="102" t="str">
        <x:v>能力矩阵与决策边界均为事后审计/归纳，不是预注册阈值。</x:v>
      </x:c>
      <x:c r="G19" s="102" t="str">
        <x:v>能力矩阵与决策边界均为事后审计/归纳，不是预注册阈值。</x:v>
      </x:c>
      <x:c r="H19" s="103" t="str">
        <x:v>能力矩阵与决策边界均为事后审计/归纳，不是预注册阈值。</x:v>
      </x:c>
    </x:row>
    <x:row r="20">
      <x:c r="A20" s="104" t="str">
        <x:v>5</x:v>
      </x:c>
      <x:c r="B20" s="105" t="str">
        <x:v>所有公开统计以 adjudicated CSV 为唯一数据口径，不改写原始人工评分表。</x:v>
      </x:c>
      <x:c r="C20" s="105" t="str">
        <x:v>所有公开统计以 adjudicated CSV 为唯一数据口径，不改写原始人工评分表。</x:v>
      </x:c>
      <x:c r="D20" s="105" t="str">
        <x:v>所有公开统计以 adjudicated CSV 为唯一数据口径，不改写原始人工评分表。</x:v>
      </x:c>
      <x:c r="E20" s="105" t="str">
        <x:v>所有公开统计以 adjudicated CSV 为唯一数据口径，不改写原始人工评分表。</x:v>
      </x:c>
      <x:c r="F20" s="105" t="str">
        <x:v>所有公开统计以 adjudicated CSV 为唯一数据口径，不改写原始人工评分表。</x:v>
      </x:c>
      <x:c r="G20" s="105" t="str">
        <x:v>所有公开统计以 adjudicated CSV 为唯一数据口径，不改写原始人工评分表。</x:v>
      </x:c>
      <x:c r="H20" s="106" t="str">
        <x:v>所有公开统计以 adjudicated CSV 为唯一数据口径，不改写原始人工评分表。</x:v>
      </x:c>
    </x:row>
  </x:sheetData>
  <x:mergeCells>
    <x:mergeCell ref="A1:H2"/>
    <x:mergeCell ref="A3:H3"/>
    <x:mergeCell ref="A8:D8"/>
    <x:mergeCell ref="E8:H8"/>
    <x:mergeCell ref="A9:D13"/>
    <x:mergeCell ref="E9:H13"/>
    <x:mergeCell ref="A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4" customHeight="1">
      <x:c r="A1" s="3" t="str">
        <x:v>评测能力覆盖矩阵</x:v>
      </x:c>
      <x:c r="B1" s="3" t="str">
        <x:v>评测能力覆盖矩阵</x:v>
      </x:c>
      <x:c r="C1" s="3" t="str">
        <x:v>评测能力覆盖矩阵</x:v>
      </x:c>
      <x:c r="D1" s="3" t="str">
        <x:v>评测能力覆盖矩阵</x:v>
      </x:c>
      <x:c r="E1" s="3" t="str">
        <x:v>评测能力覆盖矩阵</x:v>
      </x:c>
      <x:c r="F1" s="3" t="str">
        <x:v>评测能力覆盖矩阵</x:v>
      </x:c>
      <x:c r="G1" s="3" t="str">
        <x:v>评测能力覆盖矩阵</x:v>
      </x:c>
      <x:c r="H1" s="3" t="str">
        <x:v>评测能力覆盖矩阵</x:v>
      </x:c>
      <x:c r="I1" s="3" t="str">
        <x:v>评测能力覆盖矩阵</x:v>
      </x:c>
    </x:row>
    <x:row r="2" ht="34" customHeight="1">
      <x:c r="A2" s="3" t="str">
        <x:v>评测能力覆盖矩阵</x:v>
      </x:c>
      <x:c r="B2" s="3" t="str">
        <x:v>评测能力覆盖矩阵</x:v>
      </x:c>
      <x:c r="C2" s="3" t="str">
        <x:v>评测能力覆盖矩阵</x:v>
      </x:c>
      <x:c r="D2" s="3" t="str">
        <x:v>评测能力覆盖矩阵</x:v>
      </x:c>
      <x:c r="E2" s="3" t="str">
        <x:v>评测能力覆盖矩阵</x:v>
      </x:c>
      <x:c r="F2" s="3" t="str">
        <x:v>评测能力覆盖矩阵</x:v>
      </x:c>
      <x:c r="G2" s="3" t="str">
        <x:v>评测能力覆盖矩阵</x:v>
      </x:c>
      <x:c r="H2" s="3" t="str">
        <x:v>评测能力覆盖矩阵</x:v>
      </x:c>
      <x:c r="I2" s="3" t="str">
        <x:v>评测能力覆盖矩阵</x:v>
      </x:c>
    </x:row>
    <x:row r="3" ht="30" customHeight="1">
      <x:c r="A3" s="7" t="str">
        <x:v>对已完成 40 条正式英文 Prompt 的事后字面审计；不是生成前预注册标签，不回写正式评分数据</x:v>
      </x:c>
      <x:c r="B3" s="7" t="str">
        <x:v>对已完成 40 条正式英文 Prompt 的事后字面审计；不是生成前预注册标签，不回写正式评分数据</x:v>
      </x:c>
      <x:c r="C3" s="7" t="str">
        <x:v>对已完成 40 条正式英文 Prompt 的事后字面审计；不是生成前预注册标签，不回写正式评分数据</x:v>
      </x:c>
      <x:c r="D3" s="7" t="str">
        <x:v>对已完成 40 条正式英文 Prompt 的事后字面审计；不是生成前预注册标签，不回写正式评分数据</x:v>
      </x:c>
      <x:c r="E3" s="7" t="str">
        <x:v>对已完成 40 条正式英文 Prompt 的事后字面审计；不是生成前预注册标签，不回写正式评分数据</x:v>
      </x:c>
      <x:c r="F3" s="7" t="str">
        <x:v>对已完成 40 条正式英文 Prompt 的事后字面审计；不是生成前预注册标签，不回写正式评分数据</x:v>
      </x:c>
      <x:c r="G3" s="7" t="str">
        <x:v>对已完成 40 条正式英文 Prompt 的事后字面审计；不是生成前预注册标签，不回写正式评分数据</x:v>
      </x:c>
      <x:c r="H3" s="7" t="str">
        <x:v>对已完成 40 条正式英文 Prompt 的事后字面审计；不是生成前预注册标签，不回写正式评分数据</x:v>
      </x:c>
      <x:c r="I3" s="7" t="str">
        <x:v>对已完成 40 条正式英文 Prompt 的事后字面审计；不是生成前预注册标签，不回写正式评分数据</x:v>
      </x:c>
    </x:row>
    <x:row r="5" ht="25" customHeight="1">
      <x:c r="A5" s="16" t="str">
        <x:v>类别</x:v>
      </x:c>
      <x:c r="B5" s="17" t="str">
        <x:v>声源</x:v>
      </x:c>
      <x:c r="C5" s="17" t="str">
        <x:v>数量</x:v>
      </x:c>
      <x:c r="D5" s="17" t="str">
        <x:v>时序</x:v>
      </x:c>
      <x:c r="E5" s="17" t="str">
        <x:v>空间</x:v>
      </x:c>
      <x:c r="F5" s="17" t="str">
        <x:v>材质</x:v>
      </x:c>
      <x:c r="G5" s="17" t="str">
        <x:v>强度</x:v>
      </x:c>
      <x:c r="H5" s="17" t="str">
        <x:v>持续结构</x:v>
      </x:c>
      <x:c r="I5" s="18" t="str">
        <x:v>技术质量</x:v>
      </x:c>
    </x:row>
    <x:row r="6">
      <x:c r="A6" s="98" t="str">
        <x:v>自然环境</x:v>
      </x:c>
      <x:c r="B6" s="99" t="n">
        <x:v>6</x:v>
      </x:c>
      <x:c r="C6" s="99" t="n">
        <x:v>1</x:v>
      </x:c>
      <x:c r="D6" s="99" t="n">
        <x:v>3</x:v>
      </x:c>
      <x:c r="E6" s="99" t="n">
        <x:v>2</x:v>
      </x:c>
      <x:c r="F6" s="99" t="n">
        <x:v>4</x:v>
      </x:c>
      <x:c r="G6" s="99" t="n">
        <x:v>4</x:v>
      </x:c>
      <x:c r="H6" s="99" t="n">
        <x:v>5</x:v>
      </x:c>
      <x:c r="I6" s="100" t="n">
        <x:v>6</x:v>
      </x:c>
    </x:row>
    <x:row r="7">
      <x:c r="A7" s="101" t="str">
        <x:v>动作拟音</x:v>
      </x:c>
      <x:c r="B7" s="102" t="n">
        <x:v>6</x:v>
      </x:c>
      <x:c r="C7" s="102" t="n">
        <x:v>2</x:v>
      </x:c>
      <x:c r="D7" s="102" t="n">
        <x:v>3</x:v>
      </x:c>
      <x:c r="E7" s="102" t="n">
        <x:v>0</x:v>
      </x:c>
      <x:c r="F7" s="102" t="n">
        <x:v>6</x:v>
      </x:c>
      <x:c r="G7" s="102" t="n">
        <x:v>3</x:v>
      </x:c>
      <x:c r="H7" s="102" t="n">
        <x:v>4</x:v>
      </x:c>
      <x:c r="I7" s="103" t="n">
        <x:v>6</x:v>
      </x:c>
    </x:row>
    <x:row r="8">
      <x:c r="A8" s="101" t="str">
        <x:v>武器战斗</x:v>
      </x:c>
      <x:c r="B8" s="102" t="n">
        <x:v>6</x:v>
      </x:c>
      <x:c r="C8" s="102" t="n">
        <x:v>2</x:v>
      </x:c>
      <x:c r="D8" s="102" t="n">
        <x:v>6</x:v>
      </x:c>
      <x:c r="E8" s="102" t="n">
        <x:v>3</x:v>
      </x:c>
      <x:c r="F8" s="102" t="n">
        <x:v>3</x:v>
      </x:c>
      <x:c r="G8" s="102" t="n">
        <x:v>5</x:v>
      </x:c>
      <x:c r="H8" s="102" t="n">
        <x:v>2</x:v>
      </x:c>
      <x:c r="I8" s="103" t="n">
        <x:v>6</x:v>
      </x:c>
    </x:row>
    <x:row r="9">
      <x:c r="A9" s="101" t="str">
        <x:v>机械科技</x:v>
      </x:c>
      <x:c r="B9" s="102" t="n">
        <x:v>6</x:v>
      </x:c>
      <x:c r="C9" s="102" t="n">
        <x:v>2</x:v>
      </x:c>
      <x:c r="D9" s="102" t="n">
        <x:v>3</x:v>
      </x:c>
      <x:c r="E9" s="102" t="n">
        <x:v>2</x:v>
      </x:c>
      <x:c r="F9" s="102" t="n">
        <x:v>0</x:v>
      </x:c>
      <x:c r="G9" s="102" t="n">
        <x:v>2</x:v>
      </x:c>
      <x:c r="H9" s="102" t="n">
        <x:v>6</x:v>
      </x:c>
      <x:c r="I9" s="103" t="n">
        <x:v>6</x:v>
      </x:c>
    </x:row>
    <x:row r="10">
      <x:c r="A10" s="101" t="str">
        <x:v>动物</x:v>
      </x:c>
      <x:c r="B10" s="102" t="n">
        <x:v>5</x:v>
      </x:c>
      <x:c r="C10" s="102" t="n">
        <x:v>4</x:v>
      </x:c>
      <x:c r="D10" s="102" t="n">
        <x:v>2</x:v>
      </x:c>
      <x:c r="E10" s="102" t="n">
        <x:v>2</x:v>
      </x:c>
      <x:c r="F10" s="102" t="n">
        <x:v>0</x:v>
      </x:c>
      <x:c r="G10" s="102" t="n">
        <x:v>2</x:v>
      </x:c>
      <x:c r="H10" s="102" t="n">
        <x:v>4</x:v>
      </x:c>
      <x:c r="I10" s="103" t="n">
        <x:v>5</x:v>
      </x:c>
    </x:row>
    <x:row r="11">
      <x:c r="A11" s="101" t="str">
        <x:v>魔法幻想</x:v>
      </x:c>
      <x:c r="B11" s="102" t="n">
        <x:v>5</x:v>
      </x:c>
      <x:c r="C11" s="102" t="n">
        <x:v>0</x:v>
      </x:c>
      <x:c r="D11" s="102" t="n">
        <x:v>3</x:v>
      </x:c>
      <x:c r="E11" s="102" t="n">
        <x:v>0</x:v>
      </x:c>
      <x:c r="F11" s="102" t="n">
        <x:v>3</x:v>
      </x:c>
      <x:c r="G11" s="102" t="n">
        <x:v>4</x:v>
      </x:c>
      <x:c r="H11" s="102" t="n">
        <x:v>3</x:v>
      </x:c>
      <x:c r="I11" s="103" t="n">
        <x:v>5</x:v>
      </x:c>
    </x:row>
    <x:row r="12">
      <x:c r="A12" s="101" t="str">
        <x:v>日常生活</x:v>
      </x:c>
      <x:c r="B12" s="102" t="n">
        <x:v>6</x:v>
      </x:c>
      <x:c r="C12" s="102" t="n">
        <x:v>2</x:v>
      </x:c>
      <x:c r="D12" s="102" t="n">
        <x:v>5</x:v>
      </x:c>
      <x:c r="E12" s="102" t="n">
        <x:v>0</x:v>
      </x:c>
      <x:c r="F12" s="102" t="n">
        <x:v>3</x:v>
      </x:c>
      <x:c r="G12" s="102" t="n">
        <x:v>1</x:v>
      </x:c>
      <x:c r="H12" s="102" t="n">
        <x:v>4</x:v>
      </x:c>
      <x:c r="I12" s="103" t="n">
        <x:v>6</x:v>
      </x:c>
    </x:row>
    <x:row r="13">
      <x:c r="A13" s="113" t="str">
        <x:v>合计</x:v>
      </x:c>
      <x:c r="B13" s="114" t="n">
        <x:f>SUM(B6:B12)</x:f>
        <x:v>40</x:v>
      </x:c>
      <x:c r="C13" s="114" t="n">
        <x:f>SUM(C6:C12)</x:f>
        <x:v>13</x:v>
      </x:c>
      <x:c r="D13" s="114" t="n">
        <x:f>SUM(D6:D12)</x:f>
        <x:v>25</x:v>
      </x:c>
      <x:c r="E13" s="114" t="n">
        <x:f>SUM(E6:E12)</x:f>
        <x:v>9</x:v>
      </x:c>
      <x:c r="F13" s="114" t="n">
        <x:f>SUM(F6:F12)</x:f>
        <x:v>19</x:v>
      </x:c>
      <x:c r="G13" s="114" t="n">
        <x:f>SUM(G6:G12)</x:f>
        <x:v>21</x:v>
      </x:c>
      <x:c r="H13" s="114" t="n">
        <x:f>SUM(H6:H12)</x:f>
        <x:v>28</x:v>
      </x:c>
      <x:c r="I13" s="114" t="n">
        <x:f>SUM(I6:I12)</x:f>
        <x:v>40</x:v>
      </x:c>
    </x:row>
    <x:row r="15">
      <x:c r="A15" s="50" t="str">
        <x:v>覆盖解读</x:v>
      </x:c>
      <x:c r="B15" s="50" t="str">
        <x:v>覆盖解读</x:v>
      </x:c>
      <x:c r="C15" s="50" t="str">
        <x:v>覆盖解读</x:v>
      </x:c>
      <x:c r="D15" s="50" t="str">
        <x:v>覆盖解读</x:v>
      </x:c>
      <x:c r="E15" s="50" t="str">
        <x:v>覆盖解读</x:v>
      </x:c>
      <x:c r="F15" s="50" t="str">
        <x:v>覆盖解读</x:v>
      </x:c>
      <x:c r="G15" s="50" t="str">
        <x:v>覆盖解读</x:v>
      </x:c>
      <x:c r="H15" s="50" t="str">
        <x:v>覆盖解读</x:v>
      </x:c>
      <x:c r="I15" s="50" t="str">
        <x:v>覆盖解读</x:v>
      </x:c>
    </x:row>
    <x:row r="16">
      <x:c r="A16" s="115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B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C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D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E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F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G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H16" s="116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I16" s="117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</x:row>
    <x:row r="17">
      <x:c r="A17" s="118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B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C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D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E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F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G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H17" s="119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I17" s="120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</x:row>
    <x:row r="18">
      <x:c r="A18" s="121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B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C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D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E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F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G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H18" s="122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  <x:c r="I18" s="123" t="str">
        <x:v>声源识别 40/40；持续结构 28/40；时序 25/40。当前空间要求仅 9/40；魔法幻想无显式数量测试；动作拟音与日常生活缺少听者相关空间要求；机械科技与动物缺少明确材质属性测试。</x:v>
      </x:c>
    </x:row>
  </x:sheetData>
  <x:mergeCells>
    <x:mergeCell ref="A1:I2"/>
    <x:mergeCell ref="A3:I3"/>
    <x:mergeCell ref="A15:I15"/>
    <x:mergeCell ref="A16:I18"/>
  </x:mergeCells>
  <x:conditionalFormatting sqref="B6:I12">
    <x:cfRule type="colorScale" priority="1">
      <x:colorScale>
        <x:cfvo type="min"/>
        <x:cfvo type="percentile" val="50"/>
        <x:cfvo type="max"/>
        <x:color rgb="FFF7F3EB"/>
        <x:color rgb="FFB8C9C3"/>
        <x:color rgb="FF3F5F5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42" hidden="0" customWidth="1"/>
    <x:col min="4" max="4" width="4" hidden="0" customWidth="1"/>
    <x:col min="5" max="5" width="13" hidden="0" customWidth="1"/>
    <x:col min="6" max="6" width="16" hidden="0" customWidth="1"/>
    <x:col min="7" max="7" width="42" hidden="0" customWidth="1"/>
  </x:cols>
  <x:sheetData>
    <x:row r="1" ht="34" customHeight="1">
      <x:c r="A1" s="3" t="str">
        <x:v>人工听评 Rubric 与操作规范</x:v>
      </x:c>
      <x:c r="B1" s="3" t="str">
        <x:v>人工听评 Rubric 与操作规范</x:v>
      </x:c>
      <x:c r="C1" s="3" t="str">
        <x:v>人工听评 Rubric 与操作规范</x:v>
      </x:c>
      <x:c r="D1" s="3" t="str">
        <x:v>人工听评 Rubric 与操作规范</x:v>
      </x:c>
      <x:c r="E1" s="3" t="str">
        <x:v>人工听评 Rubric 与操作规范</x:v>
      </x:c>
      <x:c r="F1" s="3" t="str">
        <x:v>人工听评 Rubric 与操作规范</x:v>
      </x:c>
      <x:c r="G1" s="3" t="str">
        <x:v>人工听评 Rubric 与操作规范</x:v>
      </x:c>
    </x:row>
    <x:row r="2" ht="34" customHeight="1">
      <x:c r="A2" s="3" t="str">
        <x:v>人工听评 Rubric 与操作规范</x:v>
      </x:c>
      <x:c r="B2" s="3" t="str">
        <x:v>人工听评 Rubric 与操作规范</x:v>
      </x:c>
      <x:c r="C2" s="3" t="str">
        <x:v>人工听评 Rubric 与操作规范</x:v>
      </x:c>
      <x:c r="D2" s="3" t="str">
        <x:v>人工听评 Rubric 与操作规范</x:v>
      </x:c>
      <x:c r="E2" s="3" t="str">
        <x:v>人工听评 Rubric 与操作规范</x:v>
      </x:c>
      <x:c r="F2" s="3" t="str">
        <x:v>人工听评 Rubric 与操作规范</x:v>
      </x:c>
      <x:c r="G2" s="3" t="str">
        <x:v>人工听评 Rubric 与操作规范</x:v>
      </x:c>
    </x:row>
    <x:row r="3" ht="30" customHeight="1">
      <x:c r="A3" s="7" t="str">
        <x:v>实际使用口径：先隐藏 Prompt 评 OVL；再显示英文 Prompt、复听评 REL；事件级诊断在复听后填写</x:v>
      </x:c>
      <x:c r="B3" s="7" t="str">
        <x:v>实际使用口径：先隐藏 Prompt 评 OVL；再显示英文 Prompt、复听评 REL；事件级诊断在复听后填写</x:v>
      </x:c>
      <x:c r="C3" s="7" t="str">
        <x:v>实际使用口径：先隐藏 Prompt 评 OVL；再显示英文 Prompt、复听评 REL；事件级诊断在复听后填写</x:v>
      </x:c>
      <x:c r="D3" s="7" t="str">
        <x:v>实际使用口径：先隐藏 Prompt 评 OVL；再显示英文 Prompt、复听评 REL；事件级诊断在复听后填写</x:v>
      </x:c>
      <x:c r="E3" s="7" t="str">
        <x:v>实际使用口径：先隐藏 Prompt 评 OVL；再显示英文 Prompt、复听评 REL；事件级诊断在复听后填写</x:v>
      </x:c>
      <x:c r="F3" s="7" t="str">
        <x:v>实际使用口径：先隐藏 Prompt 评 OVL；再显示英文 Prompt、复听评 REL；事件级诊断在复听后填写</x:v>
      </x:c>
      <x:c r="G3" s="7" t="str">
        <x:v>实际使用口径：先隐藏 Prompt 评 OVL；再显示英文 Prompt、复听评 REL；事件级诊断在复听后填写</x:v>
      </x:c>
    </x:row>
    <x:row r="5" ht="25" customHeight="1">
      <x:c r="A5" s="16" t="str">
        <x:v>OVL</x:v>
      </x:c>
      <x:c r="B5" s="17" t="str">
        <x:v>锚点</x:v>
      </x:c>
      <x:c r="C5" s="18" t="str">
        <x:v>实际定义</x:v>
      </x:c>
      <x:c r="E5" s="16" t="str">
        <x:v>REL</x:v>
      </x:c>
      <x:c r="F5" s="17" t="str">
        <x:v>锚点</x:v>
      </x:c>
      <x:c r="G5" s="18" t="str">
        <x:v>实际定义</x:v>
      </x:c>
    </x:row>
    <x:row r="6">
      <x:c r="A6" s="98" t="n">
        <x:v>1</x:v>
      </x:c>
      <x:c r="B6" s="99" t="str">
        <x:v>不可用</x:v>
      </x:c>
      <x:c r="C6" s="100" t="str">
        <x:v>静音、严重噪声、破音或明显生成失败</x:v>
      </x:c>
      <x:c r="E6" s="98" t="n">
        <x:v>1</x:v>
      </x:c>
      <x:c r="F6" s="99" t="str">
        <x:v>无关</x:v>
      </x:c>
      <x:c r="G6" s="100" t="str">
        <x:v>核心声源错误或几乎没有对应关系</x:v>
      </x:c>
    </x:row>
    <x:row r="7">
      <x:c r="A7" s="101" t="n">
        <x:v>2</x:v>
      </x:c>
      <x:c r="B7" s="102" t="str">
        <x:v>较差</x:v>
      </x:c>
      <x:c r="C7" s="103" t="str">
        <x:v>勉强可辨认，但伪影、断裂或不自然感严重</x:v>
      </x:c>
      <x:c r="E7" s="101" t="n">
        <x:v>2</x:v>
      </x:c>
      <x:c r="F7" s="102" t="str">
        <x:v>弱相关</x:v>
      </x:c>
      <x:c r="G7" s="103" t="str">
        <x:v>只符合大类，核心事件模糊或缺失</x:v>
      </x:c>
    </x:row>
    <x:row r="8">
      <x:c r="A8" s="101" t="n">
        <x:v>3</x:v>
      </x:c>
      <x:c r="B8" s="102" t="str">
        <x:v>基本可用</x:v>
      </x:c>
      <x:c r="C8" s="103" t="str">
        <x:v>存在瑕疵，但可作为生成音效使用</x:v>
      </x:c>
      <x:c r="E8" s="101" t="n">
        <x:v>3</x:v>
      </x:c>
      <x:c r="F8" s="102" t="str">
        <x:v>核心匹配</x:v>
      </x:c>
      <x:c r="G8" s="103" t="str">
        <x:v>核心事件正确，但属性、次数或顺序缺失</x:v>
      </x:c>
    </x:row>
    <x:row r="9">
      <x:c r="A9" s="101" t="n">
        <x:v>4</x:v>
      </x:c>
      <x:c r="B9" s="102" t="str">
        <x:v>良好</x:v>
      </x:c>
      <x:c r="C9" s="103" t="str">
        <x:v>自然、完整，只有轻微问题</x:v>
      </x:c>
      <x:c r="E9" s="101" t="n">
        <x:v>4</x:v>
      </x:c>
      <x:c r="F9" s="102" t="str">
        <x:v>大部分匹配</x:v>
      </x:c>
      <x:c r="G9" s="103" t="str">
        <x:v>核心事件清楚，大部分属性和关系正确</x:v>
      </x:c>
    </x:row>
    <x:row r="10">
      <x:c r="A10" s="104" t="n">
        <x:v>5</x:v>
      </x:c>
      <x:c r="B10" s="105" t="str">
        <x:v>优秀</x:v>
      </x:c>
      <x:c r="C10" s="106" t="str">
        <x:v>接近可以直接用于项目</x:v>
      </x:c>
      <x:c r="E10" s="104" t="n">
        <x:v>5</x:v>
      </x:c>
      <x:c r="F10" s="105" t="str">
        <x:v>高度匹配</x:v>
      </x:c>
      <x:c r="G10" s="106" t="str">
        <x:v>核心事件、音色、次数、顺序基本全部满足</x:v>
      </x:c>
    </x:row>
    <x:row r="12">
      <x:c r="A12" s="50" t="str">
        <x:v>Listening Protocol</x:v>
      </x:c>
      <x:c r="B12" s="50" t="str">
        <x:v>Listening Protocol</x:v>
      </x:c>
      <x:c r="C12" s="50" t="str">
        <x:v>Listening Protocol</x:v>
      </x:c>
      <x:c r="D12" s="50" t="str">
        <x:v>Listening Protocol</x:v>
      </x:c>
      <x:c r="E12" s="50" t="str">
        <x:v>Listening Protocol</x:v>
      </x:c>
      <x:c r="F12" s="50" t="str">
        <x:v>Listening Protocol</x:v>
      </x:c>
      <x:c r="G12" s="50" t="str">
        <x:v>Listening Protocol</x:v>
      </x:c>
    </x:row>
    <x:row r="13">
      <x:c r="A13" s="98" t="str">
        <x:v>监听链路</x:v>
      </x:c>
      <x:c r="B13" s="99" t="str">
        <x:v>Adobe Audition → MOTU M4 → Beyerdynamic DT 770 PRO X</x:v>
      </x:c>
      <x:c r="C13" s="99" t="str">
        <x:v>Adobe Audition → MOTU M4 → Beyerdynamic DT 770 PRO X</x:v>
      </x:c>
      <x:c r="D13" s="99" t="str">
        <x:v>Adobe Audition → MOTU M4 → Beyerdynamic DT 770 PRO X</x:v>
      </x:c>
      <x:c r="E13" s="99" t="str">
        <x:v>Adobe Audition → MOTU M4 → Beyerdynamic DT 770 PRO X</x:v>
      </x:c>
      <x:c r="F13" s="99" t="str">
        <x:v>Adobe Audition → MOTU M4 → Beyerdynamic DT 770 PRO X</x:v>
      </x:c>
      <x:c r="G13" s="100" t="str">
        <x:v>Adobe Audition → MOTU M4 → Beyerdynamic DT 770 PRO X</x:v>
      </x:c>
    </x:row>
    <x:row r="14">
      <x:c r="A14" s="101" t="str">
        <x:v>环境与电平</x:v>
      </x:c>
      <x:c r="B14" s="102" t="str">
        <x:v>安静室内；固定系统音量；未做标准化声压 / SPL 校准</x:v>
      </x:c>
      <x:c r="C14" s="102" t="str">
        <x:v>安静室内；固定系统音量；未做标准化声压 / SPL 校准</x:v>
      </x:c>
      <x:c r="D14" s="102" t="str">
        <x:v>安静室内；固定系统音量；未做标准化声压 / SPL 校准</x:v>
      </x:c>
      <x:c r="E14" s="102" t="str">
        <x:v>安静室内；固定系统音量；未做标准化声压 / SPL 校准</x:v>
      </x:c>
      <x:c r="F14" s="102" t="str">
        <x:v>安静室内；固定系统音量；未做标准化声压 / SPL 校准</x:v>
      </x:c>
      <x:c r="G14" s="103" t="str">
        <x:v>安静室内；固定系统音量；未做标准化声压 / SPL 校准</x:v>
      </x:c>
    </x:row>
    <x:row r="15">
      <x:c r="A15" s="101" t="str">
        <x:v>会话管理</x:v>
      </x:c>
      <x:c r="B15" s="102" t="str">
        <x:v>每批约 30 条、约 45 分钟；休息约 15 分钟；两天完成</x:v>
      </x:c>
      <x:c r="C15" s="102" t="str">
        <x:v>每批约 30 条、约 45 分钟；休息约 15 分钟；两天完成</x:v>
      </x:c>
      <x:c r="D15" s="102" t="str">
        <x:v>每批约 30 条、约 45 分钟；休息约 15 分钟；两天完成</x:v>
      </x:c>
      <x:c r="E15" s="102" t="str">
        <x:v>每批约 30 条、约 45 分钟；休息约 15 分钟；两天完成</x:v>
      </x:c>
      <x:c r="F15" s="102" t="str">
        <x:v>每批约 30 条、约 45 分钟；休息约 15 分钟；两天完成</x:v>
      </x:c>
      <x:c r="G15" s="103" t="str">
        <x:v>每批约 30 条、约 45 分钟；休息约 15 分钟；两天完成</x:v>
      </x:c>
    </x:row>
    <x:row r="16">
      <x:c r="A16" s="101" t="str">
        <x:v>播放规则</x:v>
      </x:c>
      <x:c r="B16" s="102" t="str">
        <x:v>允许重复播放；总计 220 次盲听事件</x:v>
      </x:c>
      <x:c r="C16" s="102" t="str">
        <x:v>允许重复播放；总计 220 次盲听事件</x:v>
      </x:c>
      <x:c r="D16" s="102" t="str">
        <x:v>允许重复播放；总计 220 次盲听事件</x:v>
      </x:c>
      <x:c r="E16" s="102" t="str">
        <x:v>允许重复播放；总计 220 次盲听事件</x:v>
      </x:c>
      <x:c r="F16" s="102" t="str">
        <x:v>允许重复播放；总计 220 次盲听事件</x:v>
      </x:c>
      <x:c r="G16" s="103" t="str">
        <x:v>允许重复播放；总计 220 次盲听事件</x:v>
      </x:c>
    </x:row>
    <x:row r="17">
      <x:c r="A17" s="101" t="str">
        <x:v>步骤 1</x:v>
      </x:c>
      <x:c r="B17" s="102" t="str">
        <x:v>仅显示 Blind ID，隐藏 Prompt；先评 OVL</x:v>
      </x:c>
      <x:c r="C17" s="102" t="str">
        <x:v>仅显示 Blind ID，隐藏 Prompt；先评 OVL</x:v>
      </x:c>
      <x:c r="D17" s="102" t="str">
        <x:v>仅显示 Blind ID，隐藏 Prompt；先评 OVL</x:v>
      </x:c>
      <x:c r="E17" s="102" t="str">
        <x:v>仅显示 Blind ID，隐藏 Prompt；先评 OVL</x:v>
      </x:c>
      <x:c r="F17" s="102" t="str">
        <x:v>仅显示 Blind ID，隐藏 Prompt；先评 OVL</x:v>
      </x:c>
      <x:c r="G17" s="103" t="str">
        <x:v>仅显示 Blind ID，隐藏 Prompt；先评 OVL</x:v>
      </x:c>
    </x:row>
    <x:row r="18">
      <x:c r="A18" s="101" t="str">
        <x:v>步骤 2</x:v>
      </x:c>
      <x:c r="B18" s="102" t="str">
        <x:v>显示英文 Prompt，重新播放并评 REL；英文为正式语义参照，中文只作辅助</x:v>
      </x:c>
      <x:c r="C18" s="102" t="str">
        <x:v>显示英文 Prompt，重新播放并评 REL；英文为正式语义参照，中文只作辅助</x:v>
      </x:c>
      <x:c r="D18" s="102" t="str">
        <x:v>显示英文 Prompt，重新播放并评 REL；英文为正式语义参照，中文只作辅助</x:v>
      </x:c>
      <x:c r="E18" s="102" t="str">
        <x:v>显示英文 Prompt，重新播放并评 REL；英文为正式语义参照，中文只作辅助</x:v>
      </x:c>
      <x:c r="F18" s="102" t="str">
        <x:v>显示英文 Prompt，重新播放并评 REL；英文为正式语义参照，中文只作辅助</x:v>
      </x:c>
      <x:c r="G18" s="103" t="str">
        <x:v>显示英文 Prompt，重新播放并评 REL；英文为正式语义参照，中文只作辅助</x:v>
      </x:c>
    </x:row>
    <x:row r="19">
      <x:c r="A19" s="101" t="str">
        <x:v>步骤 3</x:v>
      </x:c>
      <x:c r="B19" s="102" t="str">
        <x:v>复听后填写主/次事件、属性、时序、数量等事件级诊断</x:v>
      </x:c>
      <x:c r="C19" s="102" t="str">
        <x:v>复听后填写主/次事件、属性、时序、数量等事件级诊断</x:v>
      </x:c>
      <x:c r="D19" s="102" t="str">
        <x:v>复听后填写主/次事件、属性、时序、数量等事件级诊断</x:v>
      </x:c>
      <x:c r="E19" s="102" t="str">
        <x:v>复听后填写主/次事件、属性、时序、数量等事件级诊断</x:v>
      </x:c>
      <x:c r="F19" s="102" t="str">
        <x:v>复听后填写主/次事件、属性、时序、数量等事件级诊断</x:v>
      </x:c>
      <x:c r="G19" s="103" t="str">
        <x:v>复听后填写主/次事件、属性、时序、数量等事件级诊断</x:v>
      </x:c>
    </x:row>
    <x:row r="20">
      <x:c r="A20" s="101" t="str">
        <x:v>步骤 4</x:v>
      </x:c>
      <x:c r="B20" s="102" t="str">
        <x:v>结合完整听感与诊断记录最终人工决策</x:v>
      </x:c>
      <x:c r="C20" s="102" t="str">
        <x:v>结合完整听感与诊断记录最终人工决策</x:v>
      </x:c>
      <x:c r="D20" s="102" t="str">
        <x:v>结合完整听感与诊断记录最终人工决策</x:v>
      </x:c>
      <x:c r="E20" s="102" t="str">
        <x:v>结合完整听感与诊断记录最终人工决策</x:v>
      </x:c>
      <x:c r="F20" s="102" t="str">
        <x:v>结合完整听感与诊断记录最终人工决策</x:v>
      </x:c>
      <x:c r="G20" s="103" t="str">
        <x:v>结合完整听感与诊断记录最终人工决策</x:v>
      </x:c>
    </x:row>
    <x:row r="21">
      <x:c r="A21" s="101" t="str">
        <x:v>隐藏重复</x:v>
      </x:c>
      <x:c r="B21" s="102" t="str">
        <x:v>20 对不进入正式统计；主口径为顺序间隔 ≥30 的 15 对</x:v>
      </x:c>
      <x:c r="C21" s="102" t="str">
        <x:v>20 对不进入正式统计；主口径为顺序间隔 ≥30 的 15 对</x:v>
      </x:c>
      <x:c r="D21" s="102" t="str">
        <x:v>20 对不进入正式统计；主口径为顺序间隔 ≥30 的 15 对</x:v>
      </x:c>
      <x:c r="E21" s="102" t="str">
        <x:v>20 对不进入正式统计；主口径为顺序间隔 ≥30 的 15 对</x:v>
      </x:c>
      <x:c r="F21" s="102" t="str">
        <x:v>20 对不进入正式统计；主口径为顺序间隔 ≥30 的 15 对</x:v>
      </x:c>
      <x:c r="G21" s="103" t="str">
        <x:v>20 对不进入正式统计；主口径为顺序间隔 ≥30 的 15 对</x:v>
      </x:c>
    </x:row>
    <x:row r="22">
      <x:c r="A22" s="104" t="str">
        <x:v>适用边界</x:v>
      </x:c>
      <x:c r="B22" s="105" t="str">
        <x:v>固定系统音量减少同一流程内变化；未做 SPL 校准，不声明跨设备绝对播放声压可比</x:v>
      </x:c>
      <x:c r="C22" s="105" t="str">
        <x:v>固定系统音量减少同一流程内变化；未做 SPL 校准，不声明跨设备绝对播放声压可比</x:v>
      </x:c>
      <x:c r="D22" s="105" t="str">
        <x:v>固定系统音量减少同一流程内变化；未做 SPL 校准，不声明跨设备绝对播放声压可比</x:v>
      </x:c>
      <x:c r="E22" s="105" t="str">
        <x:v>固定系统音量减少同一流程内变化；未做 SPL 校准，不声明跨设备绝对播放声压可比</x:v>
      </x:c>
      <x:c r="F22" s="105" t="str">
        <x:v>固定系统音量减少同一流程内变化；未做 SPL 校准，不声明跨设备绝对播放声压可比</x:v>
      </x:c>
      <x:c r="G22" s="106" t="str">
        <x:v>固定系统音量减少同一流程内变化；未做 SPL 校准，不声明跨设备绝对播放声压可比</x:v>
      </x:c>
    </x:row>
  </x:sheetData>
  <x:mergeCells>
    <x:mergeCell ref="A1:G2"/>
    <x:mergeCell ref="A3:G3"/>
    <x:mergeCell ref="A12:G12"/>
    <x:mergeCell ref="B13:G13"/>
    <x:mergeCell ref="B14:G14"/>
    <x:mergeCell ref="B15:G15"/>
    <x:mergeCell ref="B16:G16"/>
    <x:mergeCell ref="B17:G17"/>
    <x:mergeCell ref="B18:G18"/>
    <x:mergeCell ref="B19:G19"/>
    <x:mergeCell ref="B20:G20"/>
    <x:mergeCell ref="B21:G21"/>
    <x:mergeCell ref="B22:G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Prompt × fixed seed｜REL 稳定性</x:v>
      </x:c>
      <x:c r="B1" s="3" t="str">
        <x:v>Prompt × fixed seed｜REL 稳定性</x:v>
      </x:c>
      <x:c r="C1" s="3" t="str">
        <x:v>Prompt × fixed seed｜REL 稳定性</x:v>
      </x:c>
      <x:c r="D1" s="3" t="str">
        <x:v>Prompt × fixed seed｜REL 稳定性</x:v>
      </x:c>
      <x:c r="E1" s="3" t="str">
        <x:v>Prompt × fixed seed｜REL 稳定性</x:v>
      </x:c>
      <x:c r="F1" s="3" t="str">
        <x:v>Prompt × fixed seed｜REL 稳定性</x:v>
      </x:c>
      <x:c r="G1" s="3" t="str">
        <x:v>Prompt × fixed seed｜REL 稳定性</x:v>
      </x:c>
      <x:c r="H1" s="3" t="str">
        <x:v>Prompt × fixed seed｜REL 稳定性</x:v>
      </x:c>
    </x:row>
    <x:row r="2" ht="34" customHeight="1">
      <x:c r="A2" s="3" t="str">
        <x:v>Prompt × fixed seed｜REL 稳定性</x:v>
      </x:c>
      <x:c r="B2" s="3" t="str">
        <x:v>Prompt × fixed seed｜REL 稳定性</x:v>
      </x:c>
      <x:c r="C2" s="3" t="str">
        <x:v>Prompt × fixed seed｜REL 稳定性</x:v>
      </x:c>
      <x:c r="D2" s="3" t="str">
        <x:v>Prompt × fixed seed｜REL 稳定性</x:v>
      </x:c>
      <x:c r="E2" s="3" t="str">
        <x:v>Prompt × fixed seed｜REL 稳定性</x:v>
      </x:c>
      <x:c r="F2" s="3" t="str">
        <x:v>Prompt × fixed seed｜REL 稳定性</x:v>
      </x:c>
      <x:c r="G2" s="3" t="str">
        <x:v>Prompt × fixed seed｜REL 稳定性</x:v>
      </x:c>
      <x:c r="H2" s="3" t="str">
        <x:v>Prompt × fixed seed｜REL 稳定性</x:v>
      </x:c>
    </x:row>
    <x:row r="3" ht="30" customHeight="1">
      <x:c r="A3" s="7" t="str">
        <x:v>五个 seed 顺序：42 / 123 / 456 / 789 / 1024；Mean 与 SD 为工作表公式，n=5</x:v>
      </x:c>
      <x:c r="B3" s="7" t="str">
        <x:v>五个 seed 顺序：42 / 123 / 456 / 789 / 1024；Mean 与 SD 为工作表公式，n=5</x:v>
      </x:c>
      <x:c r="C3" s="7" t="str">
        <x:v>五个 seed 顺序：42 / 123 / 456 / 789 / 1024；Mean 与 SD 为工作表公式，n=5</x:v>
      </x:c>
      <x:c r="D3" s="7" t="str">
        <x:v>五个 seed 顺序：42 / 123 / 456 / 789 / 1024；Mean 与 SD 为工作表公式，n=5</x:v>
      </x:c>
      <x:c r="E3" s="7" t="str">
        <x:v>五个 seed 顺序：42 / 123 / 456 / 789 / 1024；Mean 与 SD 为工作表公式，n=5</x:v>
      </x:c>
      <x:c r="F3" s="7" t="str">
        <x:v>五个 seed 顺序：42 / 123 / 456 / 789 / 1024；Mean 与 SD 为工作表公式，n=5</x:v>
      </x:c>
      <x:c r="G3" s="7" t="str">
        <x:v>五个 seed 顺序：42 / 123 / 456 / 789 / 1024；Mean 与 SD 为工作表公式，n=5</x:v>
      </x:c>
      <x:c r="H3" s="7" t="str">
        <x:v>五个 seed 顺序：42 / 123 / 456 / 789 / 1024；Mean 与 SD 为工作表公式，n=5</x:v>
      </x:c>
    </x:row>
    <x:row r="5" ht="25" customHeight="1">
      <x:c r="A5" s="16" t="str">
        <x:v>Prompt ID</x:v>
      </x:c>
      <x:c r="B5" s="17" t="str">
        <x:v>seed42</x:v>
      </x:c>
      <x:c r="C5" s="17" t="str">
        <x:v>seed123</x:v>
      </x:c>
      <x:c r="D5" s="17" t="str">
        <x:v>seed456</x:v>
      </x:c>
      <x:c r="E5" s="17" t="str">
        <x:v>seed789</x:v>
      </x:c>
      <x:c r="F5" s="17" t="str">
        <x:v>seed1024</x:v>
      </x:c>
      <x:c r="G5" s="17" t="str">
        <x:v>REL Mean</x:v>
      </x:c>
      <x:c r="H5" s="18" t="str">
        <x:v>REL SD</x:v>
      </x:c>
    </x:row>
    <x:row r="6">
      <x:c r="A6" s="98" t="str">
        <x:v>ANI_001</x:v>
      </x:c>
      <x:c r="B6" s="99" t="n">
        <x:v>5</x:v>
      </x:c>
      <x:c r="C6" s="99" t="n">
        <x:v>3</x:v>
      </x:c>
      <x:c r="D6" s="99" t="n">
        <x:v>3</x:v>
      </x:c>
      <x:c r="E6" s="99" t="n">
        <x:v>4</x:v>
      </x:c>
      <x:c r="F6" s="99" t="n">
        <x:v>3</x:v>
      </x:c>
      <x:c r="G6" s="124" t="n">
        <x:f>AVERAGE(B6:F6)</x:f>
        <x:v>3.6</x:v>
      </x:c>
      <x:c r="H6" s="125" t="n">
        <x:f>STDEV.S(B6:F6)</x:f>
        <x:v>0.8944271909999159</x:v>
      </x:c>
    </x:row>
    <x:row r="7">
      <x:c r="A7" s="101" t="str">
        <x:v>ANI_002</x:v>
      </x:c>
      <x:c r="B7" s="102" t="n">
        <x:v>5</x:v>
      </x:c>
      <x:c r="C7" s="102" t="n">
        <x:v>3</x:v>
      </x:c>
      <x:c r="D7" s="102" t="n">
        <x:v>5</x:v>
      </x:c>
      <x:c r="E7" s="102" t="n">
        <x:v>4</x:v>
      </x:c>
      <x:c r="F7" s="102" t="n">
        <x:v>3</x:v>
      </x:c>
      <x:c r="G7" s="126" t="n">
        <x:f>AVERAGE(B7:F7)</x:f>
        <x:v>4</x:v>
      </x:c>
      <x:c r="H7" s="127" t="n">
        <x:f>STDEV.S(B7:F7)</x:f>
        <x:v>1</x:v>
      </x:c>
    </x:row>
    <x:row r="8">
      <x:c r="A8" s="101" t="str">
        <x:v>ANI_003</x:v>
      </x:c>
      <x:c r="B8" s="102" t="n">
        <x:v>3</x:v>
      </x:c>
      <x:c r="C8" s="102" t="n">
        <x:v>3</x:v>
      </x:c>
      <x:c r="D8" s="102" t="n">
        <x:v>4</x:v>
      </x:c>
      <x:c r="E8" s="102" t="n">
        <x:v>4</x:v>
      </x:c>
      <x:c r="F8" s="102" t="n">
        <x:v>3</x:v>
      </x:c>
      <x:c r="G8" s="126" t="n">
        <x:f>AVERAGE(B8:F8)</x:f>
        <x:v>3.4</x:v>
      </x:c>
      <x:c r="H8" s="127" t="n">
        <x:f>STDEV.S(B8:F8)</x:f>
        <x:v>0.5477225575051661</x:v>
      </x:c>
    </x:row>
    <x:row r="9">
      <x:c r="A9" s="101" t="str">
        <x:v>ANI_004</x:v>
      </x:c>
      <x:c r="B9" s="102" t="n">
        <x:v>3</x:v>
      </x:c>
      <x:c r="C9" s="102" t="n">
        <x:v>5</x:v>
      </x:c>
      <x:c r="D9" s="102" t="n">
        <x:v>3</x:v>
      </x:c>
      <x:c r="E9" s="102" t="n">
        <x:v>3</x:v>
      </x:c>
      <x:c r="F9" s="102" t="n">
        <x:v>4</x:v>
      </x:c>
      <x:c r="G9" s="126" t="n">
        <x:f>AVERAGE(B9:F9)</x:f>
        <x:v>3.6</x:v>
      </x:c>
      <x:c r="H9" s="127" t="n">
        <x:f>STDEV.S(B9:F9)</x:f>
        <x:v>0.8944271909999159</x:v>
      </x:c>
    </x:row>
    <x:row r="10">
      <x:c r="A10" s="101" t="str">
        <x:v>ANI_005</x:v>
      </x:c>
      <x:c r="B10" s="102" t="n">
        <x:v>3</x:v>
      </x:c>
      <x:c r="C10" s="102" t="n">
        <x:v>3</x:v>
      </x:c>
      <x:c r="D10" s="102" t="n">
        <x:v>3</x:v>
      </x:c>
      <x:c r="E10" s="102" t="n">
        <x:v>3</x:v>
      </x:c>
      <x:c r="F10" s="102" t="n">
        <x:v>2</x:v>
      </x:c>
      <x:c r="G10" s="126" t="n">
        <x:f>AVERAGE(B10:F10)</x:f>
        <x:v>2.8</x:v>
      </x:c>
      <x:c r="H10" s="127" t="n">
        <x:f>STDEV.S(B10:F10)</x:f>
        <x:v>0.4472135954999579</x:v>
      </x:c>
    </x:row>
    <x:row r="11">
      <x:c r="A11" s="101" t="str">
        <x:v>DLY_001</x:v>
      </x:c>
      <x:c r="B11" s="102" t="n">
        <x:v>3</x:v>
      </x:c>
      <x:c r="C11" s="102" t="n">
        <x:v>5</x:v>
      </x:c>
      <x:c r="D11" s="102" t="n">
        <x:v>4</x:v>
      </x:c>
      <x:c r="E11" s="102" t="n">
        <x:v>5</x:v>
      </x:c>
      <x:c r="F11" s="102" t="n">
        <x:v>3</x:v>
      </x:c>
      <x:c r="G11" s="126" t="n">
        <x:f>AVERAGE(B11:F11)</x:f>
        <x:v>4</x:v>
      </x:c>
      <x:c r="H11" s="127" t="n">
        <x:f>STDEV.S(B11:F11)</x:f>
        <x:v>1</x:v>
      </x:c>
    </x:row>
    <x:row r="12">
      <x:c r="A12" s="101" t="str">
        <x:v>DLY_002</x:v>
      </x:c>
      <x:c r="B12" s="102" t="n">
        <x:v>3</x:v>
      </x:c>
      <x:c r="C12" s="102" t="n">
        <x:v>3</x:v>
      </x:c>
      <x:c r="D12" s="102" t="n">
        <x:v>3</x:v>
      </x:c>
      <x:c r="E12" s="102" t="n">
        <x:v>5</x:v>
      </x:c>
      <x:c r="F12" s="102" t="n">
        <x:v>3</x:v>
      </x:c>
      <x:c r="G12" s="126" t="n">
        <x:f>AVERAGE(B12:F12)</x:f>
        <x:v>3.4</x:v>
      </x:c>
      <x:c r="H12" s="127" t="n">
        <x:f>STDEV.S(B12:F12)</x:f>
        <x:v>0.8944271909999159</x:v>
      </x:c>
    </x:row>
    <x:row r="13">
      <x:c r="A13" s="101" t="str">
        <x:v>DLY_003</x:v>
      </x:c>
      <x:c r="B13" s="102" t="n">
        <x:v>3</x:v>
      </x:c>
      <x:c r="C13" s="102" t="n">
        <x:v>3</x:v>
      </x:c>
      <x:c r="D13" s="102" t="n">
        <x:v>3</x:v>
      </x:c>
      <x:c r="E13" s="102" t="n">
        <x:v>3</x:v>
      </x:c>
      <x:c r="F13" s="102" t="n">
        <x:v>3</x:v>
      </x:c>
      <x:c r="G13" s="126" t="n">
        <x:f>AVERAGE(B13:F13)</x:f>
        <x:v>3</x:v>
      </x:c>
      <x:c r="H13" s="127" t="n">
        <x:f>STDEV.S(B13:F13)</x:f>
        <x:v>0</x:v>
      </x:c>
    </x:row>
    <x:row r="14">
      <x:c r="A14" s="101" t="str">
        <x:v>DLY_004</x:v>
      </x:c>
      <x:c r="B14" s="102" t="n">
        <x:v>5</x:v>
      </x:c>
      <x:c r="C14" s="102" t="n">
        <x:v>4</x:v>
      </x:c>
      <x:c r="D14" s="102" t="n">
        <x:v>5</x:v>
      </x:c>
      <x:c r="E14" s="102" t="n">
        <x:v>4</x:v>
      </x:c>
      <x:c r="F14" s="102" t="n">
        <x:v>5</x:v>
      </x:c>
      <x:c r="G14" s="126" t="n">
        <x:f>AVERAGE(B14:F14)</x:f>
        <x:v>4.6</x:v>
      </x:c>
      <x:c r="H14" s="127" t="n">
        <x:f>STDEV.S(B14:F14)</x:f>
        <x:v>0.5477225575051662</x:v>
      </x:c>
    </x:row>
    <x:row r="15">
      <x:c r="A15" s="101" t="str">
        <x:v>DLY_005</x:v>
      </x:c>
      <x:c r="B15" s="102" t="n">
        <x:v>3</x:v>
      </x:c>
      <x:c r="C15" s="102" t="n">
        <x:v>3</x:v>
      </x:c>
      <x:c r="D15" s="102" t="n">
        <x:v>3</x:v>
      </x:c>
      <x:c r="E15" s="102" t="n">
        <x:v>3</x:v>
      </x:c>
      <x:c r="F15" s="102" t="n">
        <x:v>3</x:v>
      </x:c>
      <x:c r="G15" s="126" t="n">
        <x:f>AVERAGE(B15:F15)</x:f>
        <x:v>3</x:v>
      </x:c>
      <x:c r="H15" s="127" t="n">
        <x:f>STDEV.S(B15:F15)</x:f>
        <x:v>0</x:v>
      </x:c>
    </x:row>
    <x:row r="16">
      <x:c r="A16" s="101" t="str">
        <x:v>DLY_006</x:v>
      </x:c>
      <x:c r="B16" s="102" t="n">
        <x:v>3</x:v>
      </x:c>
      <x:c r="C16" s="102" t="n">
        <x:v>2</x:v>
      </x:c>
      <x:c r="D16" s="102" t="n">
        <x:v>3</x:v>
      </x:c>
      <x:c r="E16" s="102" t="n">
        <x:v>3</x:v>
      </x:c>
      <x:c r="F16" s="102" t="n">
        <x:v>3</x:v>
      </x:c>
      <x:c r="G16" s="126" t="n">
        <x:f>AVERAGE(B16:F16)</x:f>
        <x:v>2.8</x:v>
      </x:c>
      <x:c r="H16" s="127" t="n">
        <x:f>STDEV.S(B16:F16)</x:f>
        <x:v>0.44721359549995787</x:v>
      </x:c>
    </x:row>
    <x:row r="17">
      <x:c r="A17" s="101" t="str">
        <x:v>FLY_001</x:v>
      </x:c>
      <x:c r="B17" s="102" t="n">
        <x:v>3</x:v>
      </x:c>
      <x:c r="C17" s="102" t="n">
        <x:v>4</x:v>
      </x:c>
      <x:c r="D17" s="102" t="n">
        <x:v>4</x:v>
      </x:c>
      <x:c r="E17" s="102" t="n">
        <x:v>3</x:v>
      </x:c>
      <x:c r="F17" s="102" t="n">
        <x:v>3</x:v>
      </x:c>
      <x:c r="G17" s="126" t="n">
        <x:f>AVERAGE(B17:F17)</x:f>
        <x:v>3.4</x:v>
      </x:c>
      <x:c r="H17" s="127" t="n">
        <x:f>STDEV.S(B17:F17)</x:f>
        <x:v>0.5477225575051661</x:v>
      </x:c>
    </x:row>
    <x:row r="18">
      <x:c r="A18" s="101" t="str">
        <x:v>FLY_002</x:v>
      </x:c>
      <x:c r="B18" s="102" t="n">
        <x:v>3</x:v>
      </x:c>
      <x:c r="C18" s="102" t="n">
        <x:v>3</x:v>
      </x:c>
      <x:c r="D18" s="102" t="n">
        <x:v>3</x:v>
      </x:c>
      <x:c r="E18" s="102" t="n">
        <x:v>3</x:v>
      </x:c>
      <x:c r="F18" s="102" t="n">
        <x:v>5</x:v>
      </x:c>
      <x:c r="G18" s="126" t="n">
        <x:f>AVERAGE(B18:F18)</x:f>
        <x:v>3.4</x:v>
      </x:c>
      <x:c r="H18" s="127" t="n">
        <x:f>STDEV.S(B18:F18)</x:f>
        <x:v>0.8944271909999159</x:v>
      </x:c>
    </x:row>
    <x:row r="19">
      <x:c r="A19" s="101" t="str">
        <x:v>FLY_003</x:v>
      </x:c>
      <x:c r="B19" s="102" t="n">
        <x:v>5</x:v>
      </x:c>
      <x:c r="C19" s="102" t="n">
        <x:v>4</x:v>
      </x:c>
      <x:c r="D19" s="102" t="n">
        <x:v>3</x:v>
      </x:c>
      <x:c r="E19" s="102" t="n">
        <x:v>5</x:v>
      </x:c>
      <x:c r="F19" s="102" t="n">
        <x:v>5</x:v>
      </x:c>
      <x:c r="G19" s="126" t="n">
        <x:f>AVERAGE(B19:F19)</x:f>
        <x:v>4.4</x:v>
      </x:c>
      <x:c r="H19" s="127" t="n">
        <x:f>STDEV.S(B19:F19)</x:f>
        <x:v>0.8944271909999159</x:v>
      </x:c>
    </x:row>
    <x:row r="20">
      <x:c r="A20" s="101" t="str">
        <x:v>FLY_004</x:v>
      </x:c>
      <x:c r="B20" s="102" t="n">
        <x:v>3</x:v>
      </x:c>
      <x:c r="C20" s="102" t="n">
        <x:v>3</x:v>
      </x:c>
      <x:c r="D20" s="102" t="n">
        <x:v>3</x:v>
      </x:c>
      <x:c r="E20" s="102" t="n">
        <x:v>3</x:v>
      </x:c>
      <x:c r="F20" s="102" t="n">
        <x:v>3</x:v>
      </x:c>
      <x:c r="G20" s="126" t="n">
        <x:f>AVERAGE(B20:F20)</x:f>
        <x:v>3</x:v>
      </x:c>
      <x:c r="H20" s="127" t="n">
        <x:f>STDEV.S(B20:F20)</x:f>
        <x:v>0</x:v>
      </x:c>
    </x:row>
    <x:row r="21">
      <x:c r="A21" s="101" t="str">
        <x:v>FLY_005</x:v>
      </x:c>
      <x:c r="B21" s="102" t="n">
        <x:v>3</x:v>
      </x:c>
      <x:c r="C21" s="102" t="n">
        <x:v>3</x:v>
      </x:c>
      <x:c r="D21" s="102" t="n">
        <x:v>3</x:v>
      </x:c>
      <x:c r="E21" s="102" t="n">
        <x:v>3</x:v>
      </x:c>
      <x:c r="F21" s="102" t="n">
        <x:v>2</x:v>
      </x:c>
      <x:c r="G21" s="126" t="n">
        <x:f>AVERAGE(B21:F21)</x:f>
        <x:v>2.8</x:v>
      </x:c>
      <x:c r="H21" s="127" t="n">
        <x:f>STDEV.S(B21:F21)</x:f>
        <x:v>0.4472135954999579</x:v>
      </x:c>
    </x:row>
    <x:row r="22">
      <x:c r="A22" s="101" t="str">
        <x:v>FLY_006</x:v>
      </x:c>
      <x:c r="B22" s="102" t="n">
        <x:v>1</x:v>
      </x:c>
      <x:c r="C22" s="102" t="n">
        <x:v>3</x:v>
      </x:c>
      <x:c r="D22" s="102" t="n">
        <x:v>1</x:v>
      </x:c>
      <x:c r="E22" s="102" t="n">
        <x:v>3</x:v>
      </x:c>
      <x:c r="F22" s="102" t="n">
        <x:v>4</x:v>
      </x:c>
      <x:c r="G22" s="126" t="n">
        <x:f>AVERAGE(B22:F22)</x:f>
        <x:v>2.4</x:v>
      </x:c>
      <x:c r="H22" s="127" t="n">
        <x:f>STDEV.S(B22:F22)</x:f>
        <x:v>1.3416407864998738</x:v>
      </x:c>
    </x:row>
    <x:row r="23">
      <x:c r="A23" s="101" t="str">
        <x:v>MAG_001</x:v>
      </x:c>
      <x:c r="B23" s="102" t="n">
        <x:v>3</x:v>
      </x:c>
      <x:c r="C23" s="102" t="n">
        <x:v>3</x:v>
      </x:c>
      <x:c r="D23" s="102" t="n">
        <x:v>3</x:v>
      </x:c>
      <x:c r="E23" s="102" t="n">
        <x:v>4</x:v>
      </x:c>
      <x:c r="F23" s="102" t="n">
        <x:v>3</x:v>
      </x:c>
      <x:c r="G23" s="126" t="n">
        <x:f>AVERAGE(B23:F23)</x:f>
        <x:v>3.2</x:v>
      </x:c>
      <x:c r="H23" s="127" t="n">
        <x:f>STDEV.S(B23:F23)</x:f>
        <x:v>0.4472135954999579</x:v>
      </x:c>
    </x:row>
    <x:row r="24">
      <x:c r="A24" s="101" t="str">
        <x:v>MAG_002</x:v>
      </x:c>
      <x:c r="B24" s="102" t="n">
        <x:v>5</x:v>
      </x:c>
      <x:c r="C24" s="102" t="n">
        <x:v>5</x:v>
      </x:c>
      <x:c r="D24" s="102" t="n">
        <x:v>5</x:v>
      </x:c>
      <x:c r="E24" s="102" t="n">
        <x:v>4</x:v>
      </x:c>
      <x:c r="F24" s="102" t="n">
        <x:v>5</x:v>
      </x:c>
      <x:c r="G24" s="126" t="n">
        <x:f>AVERAGE(B24:F24)</x:f>
        <x:v>4.8</x:v>
      </x:c>
      <x:c r="H24" s="127" t="n">
        <x:f>STDEV.S(B24:F24)</x:f>
        <x:v>0.4472135954999579</x:v>
      </x:c>
    </x:row>
    <x:row r="25">
      <x:c r="A25" s="101" t="str">
        <x:v>MAG_003</x:v>
      </x:c>
      <x:c r="B25" s="102" t="n">
        <x:v>3</x:v>
      </x:c>
      <x:c r="C25" s="102" t="n">
        <x:v>3</x:v>
      </x:c>
      <x:c r="D25" s="102" t="n">
        <x:v>5</x:v>
      </x:c>
      <x:c r="E25" s="102" t="n">
        <x:v>3</x:v>
      </x:c>
      <x:c r="F25" s="102" t="n">
        <x:v>3</x:v>
      </x:c>
      <x:c r="G25" s="126" t="n">
        <x:f>AVERAGE(B25:F25)</x:f>
        <x:v>3.4</x:v>
      </x:c>
      <x:c r="H25" s="127" t="n">
        <x:f>STDEV.S(B25:F25)</x:f>
        <x:v>0.8944271909999159</x:v>
      </x:c>
    </x:row>
    <x:row r="26">
      <x:c r="A26" s="101" t="str">
        <x:v>MAG_004</x:v>
      </x:c>
      <x:c r="B26" s="102" t="n">
        <x:v>5</x:v>
      </x:c>
      <x:c r="C26" s="102" t="n">
        <x:v>4</x:v>
      </x:c>
      <x:c r="D26" s="102" t="n">
        <x:v>5</x:v>
      </x:c>
      <x:c r="E26" s="102" t="n">
        <x:v>5</x:v>
      </x:c>
      <x:c r="F26" s="102" t="n">
        <x:v>4</x:v>
      </x:c>
      <x:c r="G26" s="126" t="n">
        <x:f>AVERAGE(B26:F26)</x:f>
        <x:v>4.6</x:v>
      </x:c>
      <x:c r="H26" s="127" t="n">
        <x:f>STDEV.S(B26:F26)</x:f>
        <x:v>0.5477225575051661</x:v>
      </x:c>
    </x:row>
    <x:row r="27">
      <x:c r="A27" s="101" t="str">
        <x:v>MAG_005</x:v>
      </x:c>
      <x:c r="B27" s="102" t="n">
        <x:v>3</x:v>
      </x:c>
      <x:c r="C27" s="102" t="n">
        <x:v>4</x:v>
      </x:c>
      <x:c r="D27" s="102" t="n">
        <x:v>5</x:v>
      </x:c>
      <x:c r="E27" s="102" t="n">
        <x:v>4</x:v>
      </x:c>
      <x:c r="F27" s="102" t="n">
        <x:v>4</x:v>
      </x:c>
      <x:c r="G27" s="126" t="n">
        <x:f>AVERAGE(B27:F27)</x:f>
        <x:v>4</x:v>
      </x:c>
      <x:c r="H27" s="127" t="n">
        <x:f>STDEV.S(B27:F27)</x:f>
        <x:v>0.7071067811865476</x:v>
      </x:c>
    </x:row>
    <x:row r="28">
      <x:c r="A28" s="101" t="str">
        <x:v>MEC_001</x:v>
      </x:c>
      <x:c r="B28" s="102" t="n">
        <x:v>4</x:v>
      </x:c>
      <x:c r="C28" s="102" t="n">
        <x:v>5</x:v>
      </x:c>
      <x:c r="D28" s="102" t="n">
        <x:v>5</x:v>
      </x:c>
      <x:c r="E28" s="102" t="n">
        <x:v>4</x:v>
      </x:c>
      <x:c r="F28" s="102" t="n">
        <x:v>4</x:v>
      </x:c>
      <x:c r="G28" s="126" t="n">
        <x:f>AVERAGE(B28:F28)</x:f>
        <x:v>4.4</x:v>
      </x:c>
      <x:c r="H28" s="127" t="n">
        <x:f>STDEV.S(B28:F28)</x:f>
        <x:v>0.5477225575051662</x:v>
      </x:c>
    </x:row>
    <x:row r="29">
      <x:c r="A29" s="101" t="str">
        <x:v>MEC_002</x:v>
      </x:c>
      <x:c r="B29" s="102" t="n">
        <x:v>4</x:v>
      </x:c>
      <x:c r="C29" s="102" t="n">
        <x:v>4</x:v>
      </x:c>
      <x:c r="D29" s="102" t="n">
        <x:v>3</x:v>
      </x:c>
      <x:c r="E29" s="102" t="n">
        <x:v>3</x:v>
      </x:c>
      <x:c r="F29" s="102" t="n">
        <x:v>3</x:v>
      </x:c>
      <x:c r="G29" s="126" t="n">
        <x:f>AVERAGE(B29:F29)</x:f>
        <x:v>3.4</x:v>
      </x:c>
      <x:c r="H29" s="127" t="n">
        <x:f>STDEV.S(B29:F29)</x:f>
        <x:v>0.5477225575051661</x:v>
      </x:c>
    </x:row>
    <x:row r="30">
      <x:c r="A30" s="101" t="str">
        <x:v>MEC_003</x:v>
      </x:c>
      <x:c r="B30" s="102" t="n">
        <x:v>5</x:v>
      </x:c>
      <x:c r="C30" s="102" t="n">
        <x:v>3</x:v>
      </x:c>
      <x:c r="D30" s="102" t="n">
        <x:v>3</x:v>
      </x:c>
      <x:c r="E30" s="102" t="n">
        <x:v>5</x:v>
      </x:c>
      <x:c r="F30" s="102" t="n">
        <x:v>3</x:v>
      </x:c>
      <x:c r="G30" s="126" t="n">
        <x:f>AVERAGE(B30:F30)</x:f>
        <x:v>3.8</x:v>
      </x:c>
      <x:c r="H30" s="127" t="n">
        <x:f>STDEV.S(B30:F30)</x:f>
        <x:v>1.0954451150103321</x:v>
      </x:c>
    </x:row>
    <x:row r="31">
      <x:c r="A31" s="101" t="str">
        <x:v>MEC_004</x:v>
      </x:c>
      <x:c r="B31" s="102" t="n">
        <x:v>4</x:v>
      </x:c>
      <x:c r="C31" s="102" t="n">
        <x:v>4</x:v>
      </x:c>
      <x:c r="D31" s="102" t="n">
        <x:v>4</x:v>
      </x:c>
      <x:c r="E31" s="102" t="n">
        <x:v>5</x:v>
      </x:c>
      <x:c r="F31" s="102" t="n">
        <x:v>3</x:v>
      </x:c>
      <x:c r="G31" s="126" t="n">
        <x:f>AVERAGE(B31:F31)</x:f>
        <x:v>4</x:v>
      </x:c>
      <x:c r="H31" s="127" t="n">
        <x:f>STDEV.S(B31:F31)</x:f>
        <x:v>0.7071067811865476</x:v>
      </x:c>
    </x:row>
    <x:row r="32">
      <x:c r="A32" s="101" t="str">
        <x:v>MEC_005</x:v>
      </x:c>
      <x:c r="B32" s="102" t="n">
        <x:v>5</x:v>
      </x:c>
      <x:c r="C32" s="102" t="n">
        <x:v>5</x:v>
      </x:c>
      <x:c r="D32" s="102" t="n">
        <x:v>1</x:v>
      </x:c>
      <x:c r="E32" s="102" t="n">
        <x:v>5</x:v>
      </x:c>
      <x:c r="F32" s="102" t="n">
        <x:v>5</x:v>
      </x:c>
      <x:c r="G32" s="126" t="n">
        <x:f>AVERAGE(B32:F32)</x:f>
        <x:v>4.2</x:v>
      </x:c>
      <x:c r="H32" s="127" t="n">
        <x:f>STDEV.S(B32:F32)</x:f>
        <x:v>1.7888543819998317</x:v>
      </x:c>
    </x:row>
    <x:row r="33">
      <x:c r="A33" s="101" t="str">
        <x:v>MEC_006</x:v>
      </x:c>
      <x:c r="B33" s="102" t="n">
        <x:v>3</x:v>
      </x:c>
      <x:c r="C33" s="102" t="n">
        <x:v>5</x:v>
      </x:c>
      <x:c r="D33" s="102" t="n">
        <x:v>4</x:v>
      </x:c>
      <x:c r="E33" s="102" t="n">
        <x:v>4</x:v>
      </x:c>
      <x:c r="F33" s="102" t="n">
        <x:v>3</x:v>
      </x:c>
      <x:c r="G33" s="126" t="n">
        <x:f>AVERAGE(B33:F33)</x:f>
        <x:v>3.8</x:v>
      </x:c>
      <x:c r="H33" s="127" t="n">
        <x:f>STDEV.S(B33:F33)</x:f>
        <x:v>0.8366600265340756</x:v>
      </x:c>
    </x:row>
    <x:row r="34">
      <x:c r="A34" s="101" t="str">
        <x:v>NAT_001</x:v>
      </x:c>
      <x:c r="B34" s="102" t="n">
        <x:v>3</x:v>
      </x:c>
      <x:c r="C34" s="102" t="n">
        <x:v>2</x:v>
      </x:c>
      <x:c r="D34" s="102" t="n">
        <x:v>3</x:v>
      </x:c>
      <x:c r="E34" s="102" t="n">
        <x:v>3</x:v>
      </x:c>
      <x:c r="F34" s="102" t="n">
        <x:v>4</x:v>
      </x:c>
      <x:c r="G34" s="126" t="n">
        <x:f>AVERAGE(B34:F34)</x:f>
        <x:v>3</x:v>
      </x:c>
      <x:c r="H34" s="127" t="n">
        <x:f>STDEV.S(B34:F34)</x:f>
        <x:v>0.7071067811865476</x:v>
      </x:c>
    </x:row>
    <x:row r="35">
      <x:c r="A35" s="101" t="str">
        <x:v>NAT_002</x:v>
      </x:c>
      <x:c r="B35" s="102" t="n">
        <x:v>3</x:v>
      </x:c>
      <x:c r="C35" s="102" t="n">
        <x:v>5</x:v>
      </x:c>
      <x:c r="D35" s="102" t="n">
        <x:v>4</x:v>
      </x:c>
      <x:c r="E35" s="102" t="n">
        <x:v>4</x:v>
      </x:c>
      <x:c r="F35" s="102" t="n">
        <x:v>4</x:v>
      </x:c>
      <x:c r="G35" s="126" t="n">
        <x:f>AVERAGE(B35:F35)</x:f>
        <x:v>4</x:v>
      </x:c>
      <x:c r="H35" s="127" t="n">
        <x:f>STDEV.S(B35:F35)</x:f>
        <x:v>0.7071067811865476</x:v>
      </x:c>
    </x:row>
    <x:row r="36">
      <x:c r="A36" s="101" t="str">
        <x:v>NAT_003</x:v>
      </x:c>
      <x:c r="B36" s="102" t="n">
        <x:v>3</x:v>
      </x:c>
      <x:c r="C36" s="102" t="n">
        <x:v>4</x:v>
      </x:c>
      <x:c r="D36" s="102" t="n">
        <x:v>3</x:v>
      </x:c>
      <x:c r="E36" s="102" t="n">
        <x:v>3</x:v>
      </x:c>
      <x:c r="F36" s="102" t="n">
        <x:v>3</x:v>
      </x:c>
      <x:c r="G36" s="126" t="n">
        <x:f>AVERAGE(B36:F36)</x:f>
        <x:v>3.2</x:v>
      </x:c>
      <x:c r="H36" s="127" t="n">
        <x:f>STDEV.S(B36:F36)</x:f>
        <x:v>0.44721359549995787</x:v>
      </x:c>
    </x:row>
    <x:row r="37">
      <x:c r="A37" s="101" t="str">
        <x:v>NAT_004</x:v>
      </x:c>
      <x:c r="B37" s="102" t="n">
        <x:v>5</x:v>
      </x:c>
      <x:c r="C37" s="102" t="n">
        <x:v>5</x:v>
      </x:c>
      <x:c r="D37" s="102" t="n">
        <x:v>4</x:v>
      </x:c>
      <x:c r="E37" s="102" t="n">
        <x:v>5</x:v>
      </x:c>
      <x:c r="F37" s="102" t="n">
        <x:v>5</x:v>
      </x:c>
      <x:c r="G37" s="126" t="n">
        <x:f>AVERAGE(B37:F37)</x:f>
        <x:v>4.8</x:v>
      </x:c>
      <x:c r="H37" s="127" t="n">
        <x:f>STDEV.S(B37:F37)</x:f>
        <x:v>0.4472135954999579</x:v>
      </x:c>
    </x:row>
    <x:row r="38">
      <x:c r="A38" s="101" t="str">
        <x:v>NAT_005</x:v>
      </x:c>
      <x:c r="B38" s="102" t="n">
        <x:v>3</x:v>
      </x:c>
      <x:c r="C38" s="102" t="n">
        <x:v>5</x:v>
      </x:c>
      <x:c r="D38" s="102" t="n">
        <x:v>3</x:v>
      </x:c>
      <x:c r="E38" s="102" t="n">
        <x:v>3</x:v>
      </x:c>
      <x:c r="F38" s="102" t="n">
        <x:v>4</x:v>
      </x:c>
      <x:c r="G38" s="126" t="n">
        <x:f>AVERAGE(B38:F38)</x:f>
        <x:v>3.6</x:v>
      </x:c>
      <x:c r="H38" s="127" t="n">
        <x:f>STDEV.S(B38:F38)</x:f>
        <x:v>0.8944271909999159</x:v>
      </x:c>
    </x:row>
    <x:row r="39">
      <x:c r="A39" s="101" t="str">
        <x:v>NAT_006</x:v>
      </x:c>
      <x:c r="B39" s="102" t="n">
        <x:v>1</x:v>
      </x:c>
      <x:c r="C39" s="102" t="n">
        <x:v>1</x:v>
      </x:c>
      <x:c r="D39" s="102" t="n">
        <x:v>1</x:v>
      </x:c>
      <x:c r="E39" s="102" t="n">
        <x:v>1</x:v>
      </x:c>
      <x:c r="F39" s="102" t="n">
        <x:v>1</x:v>
      </x:c>
      <x:c r="G39" s="126" t="n">
        <x:f>AVERAGE(B39:F39)</x:f>
        <x:v>1</x:v>
      </x:c>
      <x:c r="H39" s="127" t="n">
        <x:f>STDEV.S(B39:F39)</x:f>
        <x:v>0</x:v>
      </x:c>
    </x:row>
    <x:row r="40">
      <x:c r="A40" s="101" t="str">
        <x:v>WPN_001</x:v>
      </x:c>
      <x:c r="B40" s="102" t="n">
        <x:v>3</x:v>
      </x:c>
      <x:c r="C40" s="102" t="n">
        <x:v>5</x:v>
      </x:c>
      <x:c r="D40" s="102" t="n">
        <x:v>5</x:v>
      </x:c>
      <x:c r="E40" s="102" t="n">
        <x:v>3</x:v>
      </x:c>
      <x:c r="F40" s="102" t="n">
        <x:v>3</x:v>
      </x:c>
      <x:c r="G40" s="126" t="n">
        <x:f>AVERAGE(B40:F40)</x:f>
        <x:v>3.8</x:v>
      </x:c>
      <x:c r="H40" s="127" t="n">
        <x:f>STDEV.S(B40:F40)</x:f>
        <x:v>1.0954451150103321</x:v>
      </x:c>
    </x:row>
    <x:row r="41">
      <x:c r="A41" s="101" t="str">
        <x:v>WPN_002</x:v>
      </x:c>
      <x:c r="B41" s="102" t="n">
        <x:v>5</x:v>
      </x:c>
      <x:c r="C41" s="102" t="n">
        <x:v>4</x:v>
      </x:c>
      <x:c r="D41" s="102" t="n">
        <x:v>3</x:v>
      </x:c>
      <x:c r="E41" s="102" t="n">
        <x:v>3</x:v>
      </x:c>
      <x:c r="F41" s="102" t="n">
        <x:v>3</x:v>
      </x:c>
      <x:c r="G41" s="126" t="n">
        <x:f>AVERAGE(B41:F41)</x:f>
        <x:v>3.6</x:v>
      </x:c>
      <x:c r="H41" s="127" t="n">
        <x:f>STDEV.S(B41:F41)</x:f>
        <x:v>0.8944271909999159</x:v>
      </x:c>
    </x:row>
    <x:row r="42">
      <x:c r="A42" s="101" t="str">
        <x:v>WPN_003</x:v>
      </x:c>
      <x:c r="B42" s="102" t="n">
        <x:v>3</x:v>
      </x:c>
      <x:c r="C42" s="102" t="n">
        <x:v>3</x:v>
      </x:c>
      <x:c r="D42" s="102" t="n">
        <x:v>3</x:v>
      </x:c>
      <x:c r="E42" s="102" t="n">
        <x:v>3</x:v>
      </x:c>
      <x:c r="F42" s="102" t="n">
        <x:v>3</x:v>
      </x:c>
      <x:c r="G42" s="126" t="n">
        <x:f>AVERAGE(B42:F42)</x:f>
        <x:v>3</x:v>
      </x:c>
      <x:c r="H42" s="127" t="n">
        <x:f>STDEV.S(B42:F42)</x:f>
        <x:v>0</x:v>
      </x:c>
    </x:row>
    <x:row r="43">
      <x:c r="A43" s="101" t="str">
        <x:v>WPN_004</x:v>
      </x:c>
      <x:c r="B43" s="102" t="n">
        <x:v>3</x:v>
      </x:c>
      <x:c r="C43" s="102" t="n">
        <x:v>3</x:v>
      </x:c>
      <x:c r="D43" s="102" t="n">
        <x:v>3</x:v>
      </x:c>
      <x:c r="E43" s="102" t="n">
        <x:v>3</x:v>
      </x:c>
      <x:c r="F43" s="102" t="n">
        <x:v>3</x:v>
      </x:c>
      <x:c r="G43" s="126" t="n">
        <x:f>AVERAGE(B43:F43)</x:f>
        <x:v>3</x:v>
      </x:c>
      <x:c r="H43" s="127" t="n">
        <x:f>STDEV.S(B43:F43)</x:f>
        <x:v>0</x:v>
      </x:c>
    </x:row>
    <x:row r="44">
      <x:c r="A44" s="101" t="str">
        <x:v>WPN_005</x:v>
      </x:c>
      <x:c r="B44" s="102" t="n">
        <x:v>1</x:v>
      </x:c>
      <x:c r="C44" s="102" t="n">
        <x:v>1</x:v>
      </x:c>
      <x:c r="D44" s="102" t="n">
        <x:v>1</x:v>
      </x:c>
      <x:c r="E44" s="102" t="n">
        <x:v>1</x:v>
      </x:c>
      <x:c r="F44" s="102" t="n">
        <x:v>1</x:v>
      </x:c>
      <x:c r="G44" s="126" t="n">
        <x:f>AVERAGE(B44:F44)</x:f>
        <x:v>1</x:v>
      </x:c>
      <x:c r="H44" s="127" t="n">
        <x:f>STDEV.S(B44:F44)</x:f>
        <x:v>0</x:v>
      </x:c>
    </x:row>
    <x:row r="45">
      <x:c r="A45" s="104" t="str">
        <x:v>WPN_006</x:v>
      </x:c>
      <x:c r="B45" s="105" t="n">
        <x:v>3</x:v>
      </x:c>
      <x:c r="C45" s="105" t="n">
        <x:v>3</x:v>
      </x:c>
      <x:c r="D45" s="105" t="n">
        <x:v>4</x:v>
      </x:c>
      <x:c r="E45" s="105" t="n">
        <x:v>3</x:v>
      </x:c>
      <x:c r="F45" s="105" t="n">
        <x:v>3</x:v>
      </x:c>
      <x:c r="G45" s="128" t="n">
        <x:f>AVERAGE(B45:F45)</x:f>
        <x:v>3.2</x:v>
      </x:c>
      <x:c r="H45" s="129" t="n">
        <x:f>STDEV.S(B45:F45)</x:f>
        <x:v>0.4472135954999579</x:v>
      </x:c>
    </x:row>
  </x:sheetData>
  <x:mergeCells>
    <x:mergeCell ref="A1:H2"/>
    <x:mergeCell ref="A3:H3"/>
  </x:mergeCells>
  <x:conditionalFormatting sqref="B6:F45">
    <x:cfRule type="colorScale" priority="1">
      <x:colorScale>
        <x:cfvo type="min"/>
        <x:cfvo type="percentile" val="50"/>
        <x:cfvo type="max"/>
        <x:color rgb="FFA9473D"/>
        <x:color rgb="FFE9DDC6"/>
        <x:color rgb="FF607C63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4" hidden="0" customWidth="1"/>
    <x:col min="5" max="5" width="25" hidden="0" customWidth="1"/>
    <x:col min="6" max="6" width="15" hidden="0" customWidth="1"/>
    <x:col min="7" max="7" width="15" hidden="0" customWidth="1"/>
    <x:col min="8" max="8" width="12" hidden="0" customWidth="1"/>
  </x:cols>
  <x:sheetData>
    <x:row r="1" ht="34" customHeight="1">
      <x:c r="A1" s="3" t="str">
        <x:v>Badcase、最终决策与复测稳定性</x:v>
      </x:c>
      <x:c r="B1" s="3" t="str">
        <x:v>Badcase、最终决策与复测稳定性</x:v>
      </x:c>
      <x:c r="C1" s="3" t="str">
        <x:v>Badcase、最终决策与复测稳定性</x:v>
      </x:c>
      <x:c r="D1" s="3" t="str">
        <x:v>Badcase、最终决策与复测稳定性</x:v>
      </x:c>
      <x:c r="E1" s="3" t="str">
        <x:v>Badcase、最终决策与复测稳定性</x:v>
      </x:c>
      <x:c r="F1" s="3" t="str">
        <x:v>Badcase、最终决策与复测稳定性</x:v>
      </x:c>
      <x:c r="G1" s="3" t="str">
        <x:v>Badcase、最终决策与复测稳定性</x:v>
      </x:c>
      <x:c r="H1" s="3" t="str">
        <x:v>Badcase、最终决策与复测稳定性</x:v>
      </x:c>
    </x:row>
    <x:row r="2" ht="34" customHeight="1">
      <x:c r="A2" s="3" t="str">
        <x:v>Badcase、最终决策与复测稳定性</x:v>
      </x:c>
      <x:c r="B2" s="3" t="str">
        <x:v>Badcase、最终决策与复测稳定性</x:v>
      </x:c>
      <x:c r="C2" s="3" t="str">
        <x:v>Badcase、最终决策与复测稳定性</x:v>
      </x:c>
      <x:c r="D2" s="3" t="str">
        <x:v>Badcase、最终决策与复测稳定性</x:v>
      </x:c>
      <x:c r="E2" s="3" t="str">
        <x:v>Badcase、最终决策与复测稳定性</x:v>
      </x:c>
      <x:c r="F2" s="3" t="str">
        <x:v>Badcase、最终决策与复测稳定性</x:v>
      </x:c>
      <x:c r="G2" s="3" t="str">
        <x:v>Badcase、最终决策与复测稳定性</x:v>
      </x:c>
      <x:c r="H2" s="3" t="str">
        <x:v>Badcase、最终决策与复测稳定性</x:v>
      </x:c>
    </x:row>
    <x:row r="3" ht="30" customHeight="1">
      <x:c r="A3" s="7" t="str">
        <x:v>Badcase 计数直接由 200 条 adjudicated 正式样本重算；每条样本只计一个 primary_badcase</x:v>
      </x:c>
      <x:c r="B3" s="7" t="str">
        <x:v>Badcase 计数直接由 200 条 adjudicated 正式样本重算；每条样本只计一个 primary_badcase</x:v>
      </x:c>
      <x:c r="C3" s="7" t="str">
        <x:v>Badcase 计数直接由 200 条 adjudicated 正式样本重算；每条样本只计一个 primary_badcase</x:v>
      </x:c>
      <x:c r="D3" s="7" t="str">
        <x:v>Badcase 计数直接由 200 条 adjudicated 正式样本重算；每条样本只计一个 primary_badcase</x:v>
      </x:c>
      <x:c r="E3" s="7" t="str">
        <x:v>Badcase 计数直接由 200 条 adjudicated 正式样本重算；每条样本只计一个 primary_badcase</x:v>
      </x:c>
      <x:c r="F3" s="7" t="str">
        <x:v>Badcase 计数直接由 200 条 adjudicated 正式样本重算；每条样本只计一个 primary_badcase</x:v>
      </x:c>
      <x:c r="G3" s="7" t="str">
        <x:v>Badcase 计数直接由 200 条 adjudicated 正式样本重算；每条样本只计一个 primary_badcase</x:v>
      </x:c>
      <x:c r="H3" s="7" t="str">
        <x:v>Badcase 计数直接由 200 条 adjudicated 正式样本重算；每条样本只计一个 primary_badcase</x:v>
      </x:c>
    </x:row>
    <x:row r="5" ht="25" customHeight="1">
      <x:c r="A5" s="16" t="str">
        <x:v>primary_badcase</x:v>
      </x:c>
      <x:c r="B5" s="17" t="str">
        <x:v>n</x:v>
      </x:c>
      <x:c r="C5" s="18" t="str">
        <x:v>占比</x:v>
      </x:c>
      <x:c r="E5" s="16" t="str">
        <x:v>最终决策</x:v>
      </x:c>
      <x:c r="F5" s="17" t="str">
        <x:v>n</x:v>
      </x:c>
      <x:c r="G5" s="18" t="str">
        <x:v>占比</x:v>
      </x:c>
    </x:row>
    <x:row r="6">
      <x:c r="A6" s="98" t="str">
        <x:v>wrong_count</x:v>
      </x:c>
      <x:c r="B6" s="99" t="n">
        <x:v>39</x:v>
      </x:c>
      <x:c r="C6" s="130" t="n">
        <x:f>B6/SUM($B$6:$B$15)</x:f>
        <x:v>0.195</x:v>
      </x:c>
      <x:c r="E6" s="98" t="str">
        <x:v>pass</x:v>
      </x:c>
      <x:c r="F6" s="99" t="n">
        <x:v>48</x:v>
      </x:c>
      <x:c r="G6" s="130" t="n">
        <x:f>F6/$F$9</x:f>
        <x:v>0.24</x:v>
      </x:c>
    </x:row>
    <x:row r="7">
      <x:c r="A7" s="101" t="str">
        <x:v>wrong_attribute</x:v>
      </x:c>
      <x:c r="B7" s="102" t="n">
        <x:v>34</x:v>
      </x:c>
      <x:c r="C7" s="131" t="n">
        <x:f>B7/SUM($B$6:$B$15)</x:f>
        <x:v>0.17</x:v>
      </x:c>
      <x:c r="E7" s="101" t="str">
        <x:v>keep_as_badcase</x:v>
      </x:c>
      <x:c r="F7" s="102" t="n">
        <x:v>138</x:v>
      </x:c>
      <x:c r="G7" s="131" t="n">
        <x:f>F7/$F$9</x:f>
        <x:v>0.69</x:v>
      </x:c>
    </x:row>
    <x:row r="8">
      <x:c r="A8" s="101" t="str">
        <x:v>missing_secondary_event</x:v>
      </x:c>
      <x:c r="B8" s="102" t="n">
        <x:v>32</x:v>
      </x:c>
      <x:c r="C8" s="131" t="n">
        <x:f>B8/SUM($B$6:$B$15)</x:f>
        <x:v>0.16</x:v>
      </x:c>
      <x:c r="E8" s="101" t="str">
        <x:v>needs_regeneration</x:v>
      </x:c>
      <x:c r="F8" s="102" t="n">
        <x:v>14</x:v>
      </x:c>
      <x:c r="G8" s="131" t="n">
        <x:f>F8/$F$9</x:f>
        <x:v>0.07</x:v>
      </x:c>
    </x:row>
    <x:row r="9">
      <x:c r="A9" s="101" t="str">
        <x:v>wrong_source</x:v>
      </x:c>
      <x:c r="B9" s="102" t="n">
        <x:v>16</x:v>
      </x:c>
      <x:c r="C9" s="131" t="n">
        <x:f>B9/SUM($B$6:$B$15)</x:f>
        <x:v>0.08</x:v>
      </x:c>
      <x:c r="E9" s="104" t="str">
        <x:v>合计</x:v>
      </x:c>
      <x:c r="F9" s="105" t="n">
        <x:f>SUM(F6:F8)</x:f>
        <x:v>200</x:v>
      </x:c>
      <x:c r="G9" s="132" t="n">
        <x:f>SUM(G6:G8)</x:f>
        <x:v>1</x:v>
      </x:c>
    </x:row>
    <x:row r="10">
      <x:c r="A10" s="101" t="str">
        <x:v>abrupt_cutoff</x:v>
      </x:c>
      <x:c r="B10" s="102" t="n">
        <x:v>13</x:v>
      </x:c>
      <x:c r="C10" s="131" t="n">
        <x:f>B10/SUM($B$6:$B$15)</x:f>
        <x:v>0.065</x:v>
      </x:c>
    </x:row>
    <x:row r="11" ht="25" customHeight="1">
      <x:c r="A11" s="101" t="str">
        <x:v>artifact_noise</x:v>
      </x:c>
      <x:c r="B11" s="102" t="n">
        <x:v>11</x:v>
      </x:c>
      <x:c r="C11" s="131" t="n">
        <x:f>B11/SUM($B$6:$B$15)</x:f>
        <x:v>0.055</x:v>
      </x:c>
      <x:c r="E11" s="16" t="str">
        <x:v>同一评测人复测指标</x:v>
      </x:c>
      <x:c r="F11" s="17" t="str">
        <x:v>一致数</x:v>
      </x:c>
      <x:c r="G11" s="18" t="str">
        <x:v>口径</x:v>
      </x:c>
    </x:row>
    <x:row r="12">
      <x:c r="A12" s="101" t="str">
        <x:v>wrong_temporal_order</x:v>
      </x:c>
      <x:c r="B12" s="102" t="n">
        <x:v>5</x:v>
      </x:c>
      <x:c r="C12" s="131" t="n">
        <x:f>B12/SUM($B$6:$B$15)</x:f>
        <x:v>0.025</x:v>
      </x:c>
      <x:c r="E12" s="98" t="str">
        <x:v>OVL exact</x:v>
      </x:c>
      <x:c r="F12" s="99" t="n">
        <x:v>11</x:v>
      </x:c>
      <x:c r="G12" s="100" t="str">
        <x:v>11/15 (73%)</x:v>
      </x:c>
    </x:row>
    <x:row r="13">
      <x:c r="A13" s="101" t="str">
        <x:v>other</x:v>
      </x:c>
      <x:c r="B13" s="102" t="n">
        <x:v>3</x:v>
      </x:c>
      <x:c r="C13" s="131" t="n">
        <x:f>B13/SUM($B$6:$B$15)</x:f>
        <x:v>0.015</x:v>
      </x:c>
      <x:c r="E13" s="101" t="str">
        <x:v>OVL within-one</x:v>
      </x:c>
      <x:c r="F13" s="102" t="n">
        <x:v>14</x:v>
      </x:c>
      <x:c r="G13" s="103" t="str">
        <x:v>14/15 (93%)</x:v>
      </x:c>
    </x:row>
    <x:row r="14">
      <x:c r="A14" s="101" t="str">
        <x:v>extra_event</x:v>
      </x:c>
      <x:c r="B14" s="102" t="n">
        <x:v>2</x:v>
      </x:c>
      <x:c r="C14" s="131" t="n">
        <x:f>B14/SUM($B$6:$B$15)</x:f>
        <x:v>0.01</x:v>
      </x:c>
      <x:c r="E14" s="101" t="str">
        <x:v>REL exact</x:v>
      </x:c>
      <x:c r="F14" s="102" t="n">
        <x:v>10</x:v>
      </x:c>
      <x:c r="G14" s="103" t="str">
        <x:v>10/15 (67%)</x:v>
      </x:c>
    </x:row>
    <x:row r="15">
      <x:c r="A15" s="104" t="str">
        <x:v>none</x:v>
      </x:c>
      <x:c r="B15" s="105" t="n">
        <x:v>45</x:v>
      </x:c>
      <x:c r="C15" s="132" t="n">
        <x:f>B15/SUM($B$6:$B$15)</x:f>
        <x:v>0.225</x:v>
      </x:c>
      <x:c r="E15" s="101" t="str">
        <x:v>REL within-one</x:v>
      </x:c>
      <x:c r="F15" s="102" t="n">
        <x:v>15</x:v>
      </x:c>
      <x:c r="G15" s="103" t="str">
        <x:v>15/15 (100%)</x:v>
      </x:c>
    </x:row>
    <x:row r="16">
      <x:c r="E16" s="101" t="str">
        <x:v>Badcase 标签一致</x:v>
      </x:c>
      <x:c r="F16" s="102" t="n">
        <x:v>8</x:v>
      </x:c>
      <x:c r="G16" s="103" t="str">
        <x:v>8/15 (53%)</x:v>
      </x:c>
    </x:row>
    <x:row r="17">
      <x:c r="E17" s="104" t="str">
        <x:v>人工决策一致</x:v>
      </x:c>
      <x:c r="F17" s="105" t="n">
        <x:v>12</x:v>
      </x:c>
      <x:c r="G17" s="106" t="str">
        <x:v>12/15 (80%)</x:v>
      </x:c>
    </x:row>
    <x:row r="19">
      <x:c r="E19" s="133" t="str">
        <x:v>复测边界</x:v>
      </x:c>
      <x:c r="F19" s="133" t="str">
        <x:v>复测边界</x:v>
      </x:c>
      <x:c r="G19" s="133" t="str">
        <x:v>复测边界</x:v>
      </x:c>
      <x:c r="H19" s="133" t="str">
        <x:v>复测边界</x:v>
      </x:c>
    </x:row>
    <x:row r="20">
      <x:c r="E20" s="106" t="str">
        <x:v>20 对隐藏重复不进入正式统计；主要口径仅纳入评价顺序间隔 ≥30 的 15 对。结果只表示同一评测人的复测稳定性，不是多人一致性。</x:v>
      </x:c>
      <x:c r="F20" s="139" t="str">
        <x:v>20 对隐藏重复不进入正式统计；主要口径仅纳入评价顺序间隔 ≥30 的 15 对。结果只表示同一评测人的复测稳定性，不是多人一致性。</x:v>
      </x:c>
      <x:c r="G20" s="139" t="str">
        <x:v>20 对隐藏重复不进入正式统计；主要口径仅纳入评价顺序间隔 ≥30 的 15 对。结果只表示同一评测人的复测稳定性，不是多人一致性。</x:v>
      </x:c>
      <x:c r="H20" s="104" t="str">
        <x:v>20 对隐藏重复不进入正式统计；主要口径仅纳入评价顺序间隔 ≥30 的 15 对。结果只表示同一评测人的复测稳定性，不是多人一致性。</x:v>
      </x:c>
    </x:row>
    <x:row r="21">
      <x:c r="E21" s="29" t="str">
        <x:v>20 对隐藏重复不进入正式统计；主要口径仅纳入评价顺序间隔 ≥30 的 15 对。结果只表示同一评测人的复测稳定性，不是多人一致性。</x:v>
      </x:c>
      <x:c r="F21" s="140" t="str">
        <x:v>20 对隐藏重复不进入正式统计；主要口径仅纳入评价顺序间隔 ≥30 的 15 对。结果只表示同一评测人的复测稳定性，不是多人一致性。</x:v>
      </x:c>
      <x:c r="G21" s="140" t="str">
        <x:v>20 对隐藏重复不进入正式统计；主要口径仅纳入评价顺序间隔 ≥30 的 15 对。结果只表示同一评测人的复测稳定性，不是多人一致性。</x:v>
      </x:c>
      <x:c r="H21" s="27" t="str">
        <x:v>20 对隐藏重复不进入正式统计；主要口径仅纳入评价顺序间隔 ≥30 的 15 对。结果只表示同一评测人的复测稳定性，不是多人一致性。</x:v>
      </x:c>
    </x:row>
    <x:row r="22">
      <x:c r="E22" s="100" t="str">
        <x:v>20 对隐藏重复不进入正式统计；主要口径仅纳入评价顺序间隔 ≥30 的 15 对。结果只表示同一评测人的复测稳定性，不是多人一致性。</x:v>
      </x:c>
      <x:c r="F22" s="141" t="str">
        <x:v>20 对隐藏重复不进入正式统计；主要口径仅纳入评价顺序间隔 ≥30 的 15 对。结果只表示同一评测人的复测稳定性，不是多人一致性。</x:v>
      </x:c>
      <x:c r="G22" s="141" t="str">
        <x:v>20 对隐藏重复不进入正式统计；主要口径仅纳入评价顺序间隔 ≥30 的 15 对。结果只表示同一评测人的复测稳定性，不是多人一致性。</x:v>
      </x:c>
      <x:c r="H22" s="98" t="str">
        <x:v>20 对隐藏重复不进入正式统计；主要口径仅纳入评价顺序间隔 ≥30 的 15 对。结果只表示同一评测人的复测稳定性，不是多人一致性。</x:v>
      </x:c>
    </x:row>
  </x:sheetData>
  <x:mergeCells>
    <x:mergeCell ref="A1:H2"/>
    <x:mergeCell ref="A3:H3"/>
    <x:mergeCell ref="E19:H19"/>
    <x:mergeCell ref="E20:H22"/>
  </x:mergeCells>
  <x:conditionalFormatting sqref="B6:B15">
    <x:cfRule type="dataBar" priority="1">
      <x:dataBar>
        <x:cfvo type="min"/>
        <x:cfvo type="max"/>
        <x:color rgb="FF3F5F5A"/>
      </x:dataBar>
      <x:extLst>
        <x:ext xmlns:x14="http://schemas.microsoft.com/office/spreadsheetml/2009/9/main" uri="{B025F937-C7B1-47D3-B67F-A62EFF666E3E}">
          <x14:id>{85950473-0C15-CD68-D5EF-AE726BA221C8}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5950473-0C15-CD68-D5EF-AE726BA221C8}">
            <x14:dataBar gradient="1">
              <x14:cfvo type="min"/>
              <x14:cfvo type="max"/>
              <x14:fillColor rgb="FF3F5F5A"/>
            </x14:dataBar>
          </x14:cfRule>
          <xm:sqref>B6:B15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24" hidden="0" customWidth="1"/>
    <x:col min="17" max="17" width="24" hidden="0" customWidth="1"/>
    <x:col min="18" max="18" width="17" hidden="0" customWidth="1"/>
  </x:cols>
  <x:sheetData>
    <x:row r="1" ht="34" customHeight="1">
      <x:c r="A1" s="3" t="str">
        <x:v>正式样本字段示例｜10 行</x:v>
      </x:c>
      <x:c r="B1" s="3" t="str">
        <x:v>正式样本字段示例｜10 行</x:v>
      </x:c>
      <x:c r="C1" s="3" t="str">
        <x:v>正式样本字段示例｜10 行</x:v>
      </x:c>
      <x:c r="D1" s="3" t="str">
        <x:v>正式样本字段示例｜10 行</x:v>
      </x:c>
      <x:c r="E1" s="3" t="str">
        <x:v>正式样本字段示例｜10 行</x:v>
      </x:c>
      <x:c r="F1" s="3" t="str">
        <x:v>正式样本字段示例｜10 行</x:v>
      </x:c>
      <x:c r="G1" s="3" t="str">
        <x:v>正式样本字段示例｜10 行</x:v>
      </x:c>
      <x:c r="H1" s="3" t="str">
        <x:v>正式样本字段示例｜10 行</x:v>
      </x:c>
      <x:c r="I1" s="3" t="str">
        <x:v>正式样本字段示例｜10 行</x:v>
      </x:c>
      <x:c r="J1" s="3" t="str">
        <x:v>正式样本字段示例｜10 行</x:v>
      </x:c>
      <x:c r="K1" s="3" t="str">
        <x:v>正式样本字段示例｜10 行</x:v>
      </x:c>
      <x:c r="L1" s="3" t="str">
        <x:v>正式样本字段示例｜10 行</x:v>
      </x:c>
      <x:c r="M1" s="3" t="str">
        <x:v>正式样本字段示例｜10 行</x:v>
      </x:c>
      <x:c r="N1" s="3" t="str">
        <x:v>正式样本字段示例｜10 行</x:v>
      </x:c>
      <x:c r="O1" s="3" t="str">
        <x:v>正式样本字段示例｜10 行</x:v>
      </x:c>
      <x:c r="P1" s="3" t="str">
        <x:v>正式样本字段示例｜10 行</x:v>
      </x:c>
      <x:c r="Q1" s="3" t="str">
        <x:v>正式样本字段示例｜10 行</x:v>
      </x:c>
      <x:c r="R1" s="3" t="str">
        <x:v>正式样本字段示例｜10 行</x:v>
      </x:c>
    </x:row>
    <x:row r="2" ht="34" customHeight="1">
      <x:c r="A2" s="3" t="str">
        <x:v>正式样本字段示例｜10 行</x:v>
      </x:c>
      <x:c r="B2" s="3" t="str">
        <x:v>正式样本字段示例｜10 行</x:v>
      </x:c>
      <x:c r="C2" s="3" t="str">
        <x:v>正式样本字段示例｜10 行</x:v>
      </x:c>
      <x:c r="D2" s="3" t="str">
        <x:v>正式样本字段示例｜10 行</x:v>
      </x:c>
      <x:c r="E2" s="3" t="str">
        <x:v>正式样本字段示例｜10 行</x:v>
      </x:c>
      <x:c r="F2" s="3" t="str">
        <x:v>正式样本字段示例｜10 行</x:v>
      </x:c>
      <x:c r="G2" s="3" t="str">
        <x:v>正式样本字段示例｜10 行</x:v>
      </x:c>
      <x:c r="H2" s="3" t="str">
        <x:v>正式样本字段示例｜10 行</x:v>
      </x:c>
      <x:c r="I2" s="3" t="str">
        <x:v>正式样本字段示例｜10 行</x:v>
      </x:c>
      <x:c r="J2" s="3" t="str">
        <x:v>正式样本字段示例｜10 行</x:v>
      </x:c>
      <x:c r="K2" s="3" t="str">
        <x:v>正式样本字段示例｜10 行</x:v>
      </x:c>
      <x:c r="L2" s="3" t="str">
        <x:v>正式样本字段示例｜10 行</x:v>
      </x:c>
      <x:c r="M2" s="3" t="str">
        <x:v>正式样本字段示例｜10 行</x:v>
      </x:c>
      <x:c r="N2" s="3" t="str">
        <x:v>正式样本字段示例｜10 行</x:v>
      </x:c>
      <x:c r="O2" s="3" t="str">
        <x:v>正式样本字段示例｜10 行</x:v>
      </x:c>
      <x:c r="P2" s="3" t="str">
        <x:v>正式样本字段示例｜10 行</x:v>
      </x:c>
      <x:c r="Q2" s="3" t="str">
        <x:v>正式样本字段示例｜10 行</x:v>
      </x:c>
      <x:c r="R2" s="3" t="str">
        <x:v>正式样本字段示例｜10 行</x:v>
      </x:c>
    </x:row>
    <x:row r="3" ht="30" customHeight="1">
      <x:c r="A3" s="7" t="str">
        <x:v>从 200 条 adjudicated 正式样本精确抽取；用于展示字段结构，不是新的统计源</x:v>
      </x:c>
      <x:c r="B3" s="7" t="str">
        <x:v>从 200 条 adjudicated 正式样本精确抽取；用于展示字段结构，不是新的统计源</x:v>
      </x:c>
      <x:c r="C3" s="7" t="str">
        <x:v>从 200 条 adjudicated 正式样本精确抽取；用于展示字段结构，不是新的统计源</x:v>
      </x:c>
      <x:c r="D3" s="7" t="str">
        <x:v>从 200 条 adjudicated 正式样本精确抽取；用于展示字段结构，不是新的统计源</x:v>
      </x:c>
      <x:c r="E3" s="7" t="str">
        <x:v>从 200 条 adjudicated 正式样本精确抽取；用于展示字段结构，不是新的统计源</x:v>
      </x:c>
      <x:c r="F3" s="7" t="str">
        <x:v>从 200 条 adjudicated 正式样本精确抽取；用于展示字段结构，不是新的统计源</x:v>
      </x:c>
      <x:c r="G3" s="7" t="str">
        <x:v>从 200 条 adjudicated 正式样本精确抽取；用于展示字段结构，不是新的统计源</x:v>
      </x:c>
      <x:c r="H3" s="7" t="str">
        <x:v>从 200 条 adjudicated 正式样本精确抽取；用于展示字段结构，不是新的统计源</x:v>
      </x:c>
      <x:c r="I3" s="7" t="str">
        <x:v>从 200 条 adjudicated 正式样本精确抽取；用于展示字段结构，不是新的统计源</x:v>
      </x:c>
      <x:c r="J3" s="7" t="str">
        <x:v>从 200 条 adjudicated 正式样本精确抽取；用于展示字段结构，不是新的统计源</x:v>
      </x:c>
      <x:c r="K3" s="7" t="str">
        <x:v>从 200 条 adjudicated 正式样本精确抽取；用于展示字段结构，不是新的统计源</x:v>
      </x:c>
      <x:c r="L3" s="7" t="str">
        <x:v>从 200 条 adjudicated 正式样本精确抽取；用于展示字段结构，不是新的统计源</x:v>
      </x:c>
      <x:c r="M3" s="7" t="str">
        <x:v>从 200 条 adjudicated 正式样本精确抽取；用于展示字段结构，不是新的统计源</x:v>
      </x:c>
      <x:c r="N3" s="7" t="str">
        <x:v>从 200 条 adjudicated 正式样本精确抽取；用于展示字段结构，不是新的统计源</x:v>
      </x:c>
      <x:c r="O3" s="7" t="str">
        <x:v>从 200 条 adjudicated 正式样本精确抽取；用于展示字段结构，不是新的统计源</x:v>
      </x:c>
      <x:c r="P3" s="7" t="str">
        <x:v>从 200 条 adjudicated 正式样本精确抽取；用于展示字段结构，不是新的统计源</x:v>
      </x:c>
      <x:c r="Q3" s="7" t="str">
        <x:v>从 200 条 adjudicated 正式样本精确抽取；用于展示字段结构，不是新的统计源</x:v>
      </x:c>
      <x:c r="R3" s="7" t="str">
        <x:v>从 200 条 adjudicated 正式样本精确抽取；用于展示字段结构，不是新的统计源</x:v>
      </x:c>
    </x:row>
    <x:row r="5" ht="25" customHeight="1">
      <x:c r="A5" s="16" t="str">
        <x:v>sample_id</x:v>
      </x:c>
      <x:c r="B5" s="17" t="str">
        <x:v>blind_id</x:v>
      </x:c>
      <x:c r="C5" s="17" t="str">
        <x:v>prompt_id</x:v>
      </x:c>
      <x:c r="D5" s="17" t="str">
        <x:v>category_key</x:v>
      </x:c>
      <x:c r="E5" s="17" t="str">
        <x:v>category_cn</x:v>
      </x:c>
      <x:c r="F5" s="17" t="str">
        <x:v>seed</x:v>
      </x:c>
      <x:c r="G5" s="17" t="str">
        <x:v>OVL</x:v>
      </x:c>
      <x:c r="H5" s="17" t="str">
        <x:v>REL</x:v>
      </x:c>
      <x:c r="I5" s="17" t="str">
        <x:v>tech_pass</x:v>
      </x:c>
      <x:c r="J5" s="17" t="str">
        <x:v>artifact_severity</x:v>
      </x:c>
      <x:c r="K5" s="17" t="str">
        <x:v>primary_event</x:v>
      </x:c>
      <x:c r="L5" s="17" t="str">
        <x:v>secondary_event</x:v>
      </x:c>
      <x:c r="M5" s="17" t="str">
        <x:v>attribute_match</x:v>
      </x:c>
      <x:c r="N5" s="17" t="str">
        <x:v>temporal_match</x:v>
      </x:c>
      <x:c r="O5" s="17" t="str">
        <x:v>count_match</x:v>
      </x:c>
      <x:c r="P5" s="17" t="str">
        <x:v>primary_badcase</x:v>
      </x:c>
      <x:c r="Q5" s="17" t="str">
        <x:v>human_decision</x:v>
      </x:c>
      <x:c r="R5" s="18" t="str">
        <x:v>adjudication_applied</x:v>
      </x:c>
    </x:row>
    <x:row r="6">
      <x:c r="A6" s="98" t="str">
        <x:v>MEC_006_S0123</x:v>
      </x:c>
      <x:c r="B6" s="99" t="str">
        <x:v>B0008</x:v>
      </x:c>
      <x:c r="C6" s="99" t="str">
        <x:v>MEC_006</x:v>
      </x:c>
      <x:c r="D6" s="99" t="str">
        <x:v>mechanical_technology</x:v>
      </x:c>
      <x:c r="E6" s="99" t="str">
        <x:v>机械科技</x:v>
      </x:c>
      <x:c r="F6" s="99" t="n">
        <x:v>123</x:v>
      </x:c>
      <x:c r="G6" s="99" t="n">
        <x:v>5</x:v>
      </x:c>
      <x:c r="H6" s="99" t="n">
        <x:v>5</x:v>
      </x:c>
      <x:c r="I6" s="99" t="str">
        <x:v>是</x:v>
      </x:c>
      <x:c r="J6" s="99" t="n">
        <x:v>0</x:v>
      </x:c>
      <x:c r="K6" s="99" t="n">
        <x:v>2</x:v>
      </x:c>
      <x:c r="L6" s="99" t="str">
        <x:v>NA</x:v>
      </x:c>
      <x:c r="M6" s="99" t="n">
        <x:v>2</x:v>
      </x:c>
      <x:c r="N6" s="99" t="n">
        <x:v>2</x:v>
      </x:c>
      <x:c r="O6" s="99" t="str">
        <x:v>NA</x:v>
      </x:c>
      <x:c r="P6" s="99" t="str">
        <x:v>none</x:v>
      </x:c>
      <x:c r="Q6" s="99" t="str">
        <x:v>pass</x:v>
      </x:c>
      <x:c r="R6" s="100" t="str">
        <x:v>False</x:v>
      </x:c>
    </x:row>
    <x:row r="7">
      <x:c r="A7" s="101" t="str">
        <x:v>MEC_005_S0456</x:v>
      </x:c>
      <x:c r="B7" s="102" t="str">
        <x:v>B0152</x:v>
      </x:c>
      <x:c r="C7" s="102" t="str">
        <x:v>MEC_005</x:v>
      </x:c>
      <x:c r="D7" s="102" t="str">
        <x:v>mechanical_technology</x:v>
      </x:c>
      <x:c r="E7" s="102" t="str">
        <x:v>机械科技</x:v>
      </x:c>
      <x:c r="F7" s="102" t="n">
        <x:v>456</x:v>
      </x:c>
      <x:c r="G7" s="102" t="n">
        <x:v>4</x:v>
      </x:c>
      <x:c r="H7" s="102" t="n">
        <x:v>1</x:v>
      </x:c>
      <x:c r="I7" s="102" t="str">
        <x:v>是</x:v>
      </x:c>
      <x:c r="J7" s="102" t="n">
        <x:v>1</x:v>
      </x:c>
      <x:c r="K7" s="102" t="n">
        <x:v>1</x:v>
      </x:c>
      <x:c r="L7" s="102" t="str">
        <x:v>NA</x:v>
      </x:c>
      <x:c r="M7" s="102" t="n">
        <x:v>1</x:v>
      </x:c>
      <x:c r="N7" s="102" t="n">
        <x:v>1</x:v>
      </x:c>
      <x:c r="O7" s="102" t="str">
        <x:v>NA</x:v>
      </x:c>
      <x:c r="P7" s="102" t="str">
        <x:v>wrong_source</x:v>
      </x:c>
      <x:c r="Q7" s="102" t="str">
        <x:v>needs_regeneration</x:v>
      </x:c>
      <x:c r="R7" s="103" t="str">
        <x:v>False</x:v>
      </x:c>
    </x:row>
    <x:row r="8">
      <x:c r="A8" s="101" t="str">
        <x:v>WPN_004_S0042</x:v>
      </x:c>
      <x:c r="B8" s="102" t="str">
        <x:v>B0099</x:v>
      </x:c>
      <x:c r="C8" s="102" t="str">
        <x:v>WPN_004</x:v>
      </x:c>
      <x:c r="D8" s="102" t="str">
        <x:v>weapon_combat</x:v>
      </x:c>
      <x:c r="E8" s="102" t="str">
        <x:v>武器战斗</x:v>
      </x:c>
      <x:c r="F8" s="102" t="n">
        <x:v>42</x:v>
      </x:c>
      <x:c r="G8" s="102" t="n">
        <x:v>4</x:v>
      </x:c>
      <x:c r="H8" s="102" t="n">
        <x:v>3</x:v>
      </x:c>
      <x:c r="I8" s="102" t="str">
        <x:v>是</x:v>
      </x:c>
      <x:c r="J8" s="102" t="n">
        <x:v>1</x:v>
      </x:c>
      <x:c r="K8" s="102" t="n">
        <x:v>1</x:v>
      </x:c>
      <x:c r="L8" s="102" t="n">
        <x:v>1</x:v>
      </x:c>
      <x:c r="M8" s="102" t="n">
        <x:v>1</x:v>
      </x:c>
      <x:c r="N8" s="102" t="n">
        <x:v>1</x:v>
      </x:c>
      <x:c r="O8" s="102" t="str">
        <x:v>NA</x:v>
      </x:c>
      <x:c r="P8" s="102" t="str">
        <x:v>wrong_count</x:v>
      </x:c>
      <x:c r="Q8" s="102" t="str">
        <x:v>keep_as_badcase</x:v>
      </x:c>
      <x:c r="R8" s="103" t="str">
        <x:v>False</x:v>
      </x:c>
    </x:row>
    <x:row r="9">
      <x:c r="A9" s="101" t="str">
        <x:v>NAT_006_S0042</x:v>
      </x:c>
      <x:c r="B9" s="102" t="str">
        <x:v>B0092</x:v>
      </x:c>
      <x:c r="C9" s="102" t="str">
        <x:v>NAT_006</x:v>
      </x:c>
      <x:c r="D9" s="102" t="str">
        <x:v>natural_environment</x:v>
      </x:c>
      <x:c r="E9" s="102" t="str">
        <x:v>自然环境</x:v>
      </x:c>
      <x:c r="F9" s="102" t="n">
        <x:v>42</x:v>
      </x:c>
      <x:c r="G9" s="102" t="n">
        <x:v>1</x:v>
      </x:c>
      <x:c r="H9" s="102" t="n">
        <x:v>1</x:v>
      </x:c>
      <x:c r="I9" s="102" t="str">
        <x:v>否</x:v>
      </x:c>
      <x:c r="J9" s="102" t="n">
        <x:v>2</x:v>
      </x:c>
      <x:c r="K9" s="102" t="n">
        <x:v>0</x:v>
      </x:c>
      <x:c r="L9" s="102" t="str">
        <x:v>NA</x:v>
      </x:c>
      <x:c r="M9" s="102" t="n">
        <x:v>0</x:v>
      </x:c>
      <x:c r="N9" s="102" t="str">
        <x:v>NA</x:v>
      </x:c>
      <x:c r="O9" s="102" t="str">
        <x:v>NA</x:v>
      </x:c>
      <x:c r="P9" s="102" t="str">
        <x:v>wrong_source</x:v>
      </x:c>
      <x:c r="Q9" s="102" t="str">
        <x:v>needs_regeneration</x:v>
      </x:c>
      <x:c r="R9" s="103" t="str">
        <x:v>False</x:v>
      </x:c>
    </x:row>
    <x:row r="10">
      <x:c r="A10" s="101" t="str">
        <x:v>ANI_001_S0042</x:v>
      </x:c>
      <x:c r="B10" s="102" t="str">
        <x:v>B0012</x:v>
      </x:c>
      <x:c r="C10" s="102" t="str">
        <x:v>ANI_001</x:v>
      </x:c>
      <x:c r="D10" s="102" t="str">
        <x:v>animal</x:v>
      </x:c>
      <x:c r="E10" s="102" t="str">
        <x:v>动物</x:v>
      </x:c>
      <x:c r="F10" s="102" t="n">
        <x:v>42</x:v>
      </x:c>
      <x:c r="G10" s="102" t="n">
        <x:v>4</x:v>
      </x:c>
      <x:c r="H10" s="102" t="n">
        <x:v>5</x:v>
      </x:c>
      <x:c r="I10" s="102" t="str">
        <x:v>是</x:v>
      </x:c>
      <x:c r="J10" s="102" t="n">
        <x:v>1</x:v>
      </x:c>
      <x:c r="K10" s="102" t="n">
        <x:v>2</x:v>
      </x:c>
      <x:c r="L10" s="102" t="str">
        <x:v>NA</x:v>
      </x:c>
      <x:c r="M10" s="102" t="n">
        <x:v>2</x:v>
      </x:c>
      <x:c r="N10" s="102" t="str">
        <x:v>NA</x:v>
      </x:c>
      <x:c r="O10" s="102" t="n">
        <x:v>0</x:v>
      </x:c>
      <x:c r="P10" s="102" t="str">
        <x:v>wrong_count</x:v>
      </x:c>
      <x:c r="Q10" s="102" t="str">
        <x:v>keep_as_badcase</x:v>
      </x:c>
      <x:c r="R10" s="103" t="str">
        <x:v>False</x:v>
      </x:c>
    </x:row>
    <x:row r="11">
      <x:c r="A11" s="101" t="str">
        <x:v>FLY_001_S0042</x:v>
      </x:c>
      <x:c r="B11" s="102" t="str">
        <x:v>B0104</x:v>
      </x:c>
      <x:c r="C11" s="102" t="str">
        <x:v>FLY_001</x:v>
      </x:c>
      <x:c r="D11" s="102" t="str">
        <x:v>action_foley</x:v>
      </x:c>
      <x:c r="E11" s="102" t="str">
        <x:v>动作拟音</x:v>
      </x:c>
      <x:c r="F11" s="102" t="n">
        <x:v>42</x:v>
      </x:c>
      <x:c r="G11" s="102" t="n">
        <x:v>5</x:v>
      </x:c>
      <x:c r="H11" s="102" t="n">
        <x:v>3</x:v>
      </x:c>
      <x:c r="I11" s="102" t="str">
        <x:v>是</x:v>
      </x:c>
      <x:c r="J11" s="102" t="n">
        <x:v>0</x:v>
      </x:c>
      <x:c r="K11" s="102" t="n">
        <x:v>2</x:v>
      </x:c>
      <x:c r="L11" s="102" t="str">
        <x:v>NA</x:v>
      </x:c>
      <x:c r="M11" s="102" t="n">
        <x:v>1</x:v>
      </x:c>
      <x:c r="N11" s="102" t="str">
        <x:v>NA</x:v>
      </x:c>
      <x:c r="O11" s="102" t="n">
        <x:v>0</x:v>
      </x:c>
      <x:c r="P11" s="102" t="str">
        <x:v>wrong_count</x:v>
      </x:c>
      <x:c r="Q11" s="102" t="str">
        <x:v>keep_as_badcase</x:v>
      </x:c>
      <x:c r="R11" s="103" t="str">
        <x:v>False</x:v>
      </x:c>
    </x:row>
    <x:row r="12">
      <x:c r="A12" s="101" t="str">
        <x:v>WPN_001_S0123</x:v>
      </x:c>
      <x:c r="B12" s="102" t="str">
        <x:v>B0073</x:v>
      </x:c>
      <x:c r="C12" s="102" t="str">
        <x:v>WPN_001</x:v>
      </x:c>
      <x:c r="D12" s="102" t="str">
        <x:v>weapon_combat</x:v>
      </x:c>
      <x:c r="E12" s="102" t="str">
        <x:v>武器战斗</x:v>
      </x:c>
      <x:c r="F12" s="102" t="n">
        <x:v>123</x:v>
      </x:c>
      <x:c r="G12" s="102" t="n">
        <x:v>5</x:v>
      </x:c>
      <x:c r="H12" s="102" t="n">
        <x:v>5</x:v>
      </x:c>
      <x:c r="I12" s="102" t="str">
        <x:v>是</x:v>
      </x:c>
      <x:c r="J12" s="102" t="n">
        <x:v>0</x:v>
      </x:c>
      <x:c r="K12" s="102" t="n">
        <x:v>2</x:v>
      </x:c>
      <x:c r="L12" s="102" t="str">
        <x:v>NA</x:v>
      </x:c>
      <x:c r="M12" s="102" t="n">
        <x:v>2</x:v>
      </x:c>
      <x:c r="N12" s="102" t="n">
        <x:v>2</x:v>
      </x:c>
      <x:c r="O12" s="102" t="str">
        <x:v>NA</x:v>
      </x:c>
      <x:c r="P12" s="102" t="str">
        <x:v>none</x:v>
      </x:c>
      <x:c r="Q12" s="102" t="str">
        <x:v>pass</x:v>
      </x:c>
      <x:c r="R12" s="103" t="str">
        <x:v>False</x:v>
      </x:c>
    </x:row>
    <x:row r="13">
      <x:c r="A13" s="101" t="str">
        <x:v>MAG_001_S0042</x:v>
      </x:c>
      <x:c r="B13" s="102" t="str">
        <x:v>B0131</x:v>
      </x:c>
      <x:c r="C13" s="102" t="str">
        <x:v>MAG_001</x:v>
      </x:c>
      <x:c r="D13" s="102" t="str">
        <x:v>magic_fantasy</x:v>
      </x:c>
      <x:c r="E13" s="102" t="str">
        <x:v>魔法幻想</x:v>
      </x:c>
      <x:c r="F13" s="102" t="n">
        <x:v>42</x:v>
      </x:c>
      <x:c r="G13" s="102" t="n">
        <x:v>3</x:v>
      </x:c>
      <x:c r="H13" s="102" t="n">
        <x:v>3</x:v>
      </x:c>
      <x:c r="I13" s="102" t="str">
        <x:v>是</x:v>
      </x:c>
      <x:c r="J13" s="102" t="n">
        <x:v>2</x:v>
      </x:c>
      <x:c r="K13" s="102" t="n">
        <x:v>1</x:v>
      </x:c>
      <x:c r="L13" s="102" t="str">
        <x:v>NA</x:v>
      </x:c>
      <x:c r="M13" s="102" t="n">
        <x:v>1</x:v>
      </x:c>
      <x:c r="N13" s="102" t="n">
        <x:v>1</x:v>
      </x:c>
      <x:c r="O13" s="102" t="str">
        <x:v>NA</x:v>
      </x:c>
      <x:c r="P13" s="102" t="str">
        <x:v>wrong_attribute</x:v>
      </x:c>
      <x:c r="Q13" s="102" t="str">
        <x:v>keep_as_badcase</x:v>
      </x:c>
      <x:c r="R13" s="103" t="str">
        <x:v>False</x:v>
      </x:c>
    </x:row>
    <x:row r="14">
      <x:c r="A14" s="101" t="str">
        <x:v>DLY_001_S0123</x:v>
      </x:c>
      <x:c r="B14" s="102" t="str">
        <x:v>B0043</x:v>
      </x:c>
      <x:c r="C14" s="102" t="str">
        <x:v>DLY_001</x:v>
      </x:c>
      <x:c r="D14" s="102" t="str">
        <x:v>daily_life</x:v>
      </x:c>
      <x:c r="E14" s="102" t="str">
        <x:v>日常生活</x:v>
      </x:c>
      <x:c r="F14" s="102" t="n">
        <x:v>123</x:v>
      </x:c>
      <x:c r="G14" s="102" t="n">
        <x:v>4</x:v>
      </x:c>
      <x:c r="H14" s="102" t="n">
        <x:v>5</x:v>
      </x:c>
      <x:c r="I14" s="102" t="str">
        <x:v>是</x:v>
      </x:c>
      <x:c r="J14" s="102" t="n">
        <x:v>1</x:v>
      </x:c>
      <x:c r="K14" s="102" t="n">
        <x:v>2</x:v>
      </x:c>
      <x:c r="L14" s="102" t="str">
        <x:v>NA</x:v>
      </x:c>
      <x:c r="M14" s="102" t="n">
        <x:v>2</x:v>
      </x:c>
      <x:c r="N14" s="102" t="str">
        <x:v>NA</x:v>
      </x:c>
      <x:c r="O14" s="102" t="str">
        <x:v>NA</x:v>
      </x:c>
      <x:c r="P14" s="102" t="str">
        <x:v>none</x:v>
      </x:c>
      <x:c r="Q14" s="102" t="str">
        <x:v>pass</x:v>
      </x:c>
      <x:c r="R14" s="103" t="str">
        <x:v>False</x:v>
      </x:c>
    </x:row>
    <x:row r="15">
      <x:c r="A15" s="104" t="str">
        <x:v>NAT_001_S0042</x:v>
      </x:c>
      <x:c r="B15" s="105" t="str">
        <x:v>B0047</x:v>
      </x:c>
      <x:c r="C15" s="105" t="str">
        <x:v>NAT_001</x:v>
      </x:c>
      <x:c r="D15" s="105" t="str">
        <x:v>natural_environment</x:v>
      </x:c>
      <x:c r="E15" s="105" t="str">
        <x:v>自然环境</x:v>
      </x:c>
      <x:c r="F15" s="105" t="n">
        <x:v>42</x:v>
      </x:c>
      <x:c r="G15" s="105" t="n">
        <x:v>4</x:v>
      </x:c>
      <x:c r="H15" s="105" t="n">
        <x:v>3</x:v>
      </x:c>
      <x:c r="I15" s="105" t="str">
        <x:v>是</x:v>
      </x:c>
      <x:c r="J15" s="105" t="n">
        <x:v>1</x:v>
      </x:c>
      <x:c r="K15" s="105" t="n">
        <x:v>2</x:v>
      </x:c>
      <x:c r="L15" s="105" t="n">
        <x:v>1</x:v>
      </x:c>
      <x:c r="M15" s="105" t="n">
        <x:v>1</x:v>
      </x:c>
      <x:c r="N15" s="105" t="n">
        <x:v>2</x:v>
      </x:c>
      <x:c r="O15" s="105" t="str">
        <x:v>NA</x:v>
      </x:c>
      <x:c r="P15" s="105" t="str">
        <x:v>missing_secondary_event</x:v>
      </x:c>
      <x:c r="Q15" s="105" t="str">
        <x:v>keep_as_badcase</x:v>
      </x:c>
      <x:c r="R15" s="106" t="str">
        <x:v>False</x:v>
      </x:c>
    </x:row>
  </x:sheetData>
  <x:mergeCells>
    <x:mergeCell ref="A1:R2"/>
    <x:mergeCell ref="A3:R3"/>
  </x:mergeCells>
  <x:pageMargins left="0.7" right="0.7" top="0.75" bottom="0.75" header="0.3" footer="0.3"/>
</x:worksheet>
</file>